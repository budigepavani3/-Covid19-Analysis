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b16f3ea80138938f/Attachments/Desktop/COVID19ANANALYSIS/"/>
    </mc:Choice>
  </mc:AlternateContent>
  <xr:revisionPtr revIDLastSave="19" documentId="13_ncr:1_{28B1FDCA-E2B4-4A2D-9A1D-9B3B52B20CED}" xr6:coauthVersionLast="47" xr6:coauthVersionMax="47" xr10:uidLastSave="{7F54654F-569C-42D6-B465-69242975732B}"/>
  <bookViews>
    <workbookView xWindow="-110" yWindow="-110" windowWidth="19420" windowHeight="11500" activeTab="2" xr2:uid="{00000000-000D-0000-FFFF-FFFF00000000}"/>
  </bookViews>
  <sheets>
    <sheet name="COVID-19 Coronavirus" sheetId="1" r:id="rId1"/>
    <sheet name="COVID-19 Coronavirus (2)" sheetId="2" r:id="rId2"/>
    <sheet name="Dashboard" sheetId="5" r:id="rId3"/>
    <sheet name="Task 1" sheetId="4" r:id="rId4"/>
    <sheet name="Task 1.2" sheetId="22" r:id="rId5"/>
    <sheet name="Task 2" sheetId="8" r:id="rId6"/>
    <sheet name="task 2.2" sheetId="23" r:id="rId7"/>
    <sheet name="Task 3" sheetId="11" r:id="rId8"/>
    <sheet name="Task 4" sheetId="18" r:id="rId9"/>
    <sheet name="Task 5" sheetId="21" r:id="rId10"/>
    <sheet name="Tasks to perform" sheetId="3" r:id="rId11"/>
  </sheets>
  <definedNames>
    <definedName name="ExternalData_1" localSheetId="1" hidden="1">'COVID-19 Coronavirus (2)'!$A$1:$H$226</definedName>
    <definedName name="Slicer_Continent">#N/A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7C3453-E66D-411F-9981-CABC0832735A}" keepAlive="1" name="Query - COVID-19 Coronavirus (2)" description="Connection to the 'COVID-19 Coronavirus (2)' query in the workbook." type="5" refreshedVersion="0" background="1">
    <dbPr connection="Provider=Microsoft.Mashup.OleDb.1;Data Source=$Workbook$;Location=&quot;COVID-19 Coronavirus (2)&quot;;Extended Properties=&quot;&quot;" command="SELECT * FROM [COVID-19 Coronavirus (2)]"/>
  </connection>
</connections>
</file>

<file path=xl/sharedStrings.xml><?xml version="1.0" encoding="utf-8"?>
<sst xmlns="http://schemas.openxmlformats.org/spreadsheetml/2006/main" count="1402" uniqueCount="512">
  <si>
    <t>Country</t>
  </si>
  <si>
    <t>Other names</t>
  </si>
  <si>
    <t>ISO 3166-1 alpha-3 CODE</t>
  </si>
  <si>
    <t>Population</t>
  </si>
  <si>
    <t>Continent</t>
  </si>
  <si>
    <t>Total Cases</t>
  </si>
  <si>
    <t>Total Deaths</t>
  </si>
  <si>
    <t>TotÂ Cases//1M pop</t>
  </si>
  <si>
    <t>TotÂ Deaths/1M pop</t>
  </si>
  <si>
    <t>Death percentage</t>
  </si>
  <si>
    <t>Afghanistan</t>
  </si>
  <si>
    <t>AFG</t>
  </si>
  <si>
    <t>Asia</t>
  </si>
  <si>
    <t>Albania</t>
  </si>
  <si>
    <t>ALB</t>
  </si>
  <si>
    <t>Europe</t>
  </si>
  <si>
    <t>Algeria</t>
  </si>
  <si>
    <t>DZA</t>
  </si>
  <si>
    <t>Africa</t>
  </si>
  <si>
    <t>Andorra</t>
  </si>
  <si>
    <t>AND</t>
  </si>
  <si>
    <t>Angola</t>
  </si>
  <si>
    <t>AGO</t>
  </si>
  <si>
    <t>Anguilla</t>
  </si>
  <si>
    <t>AIA</t>
  </si>
  <si>
    <t>Latin America and the Caribbean</t>
  </si>
  <si>
    <t>Antigua and Barbuda</t>
  </si>
  <si>
    <t>ATG</t>
  </si>
  <si>
    <t>Argentina</t>
  </si>
  <si>
    <t>ARG</t>
  </si>
  <si>
    <t>Armenia</t>
  </si>
  <si>
    <t>ARM</t>
  </si>
  <si>
    <t>Aruba</t>
  </si>
  <si>
    <t>ABW</t>
  </si>
  <si>
    <t>Australia</t>
  </si>
  <si>
    <t>AUS</t>
  </si>
  <si>
    <t>Oceania</t>
  </si>
  <si>
    <t>Austria</t>
  </si>
  <si>
    <t>AUT</t>
  </si>
  <si>
    <t>Azerbaijan</t>
  </si>
  <si>
    <t>AZE</t>
  </si>
  <si>
    <t>Bahamas</t>
  </si>
  <si>
    <t>BHM</t>
  </si>
  <si>
    <t>Bahrain</t>
  </si>
  <si>
    <t>BHR</t>
  </si>
  <si>
    <t>Bangladesh</t>
  </si>
  <si>
    <t>BGD</t>
  </si>
  <si>
    <t>Barbados</t>
  </si>
  <si>
    <t>BRB</t>
  </si>
  <si>
    <t>Belarus</t>
  </si>
  <si>
    <t>BLR</t>
  </si>
  <si>
    <t>Belgium</t>
  </si>
  <si>
    <t>BEL</t>
  </si>
  <si>
    <t>Belize</t>
  </si>
  <si>
    <t>BLZ</t>
  </si>
  <si>
    <t>Benin</t>
  </si>
  <si>
    <t>BEN</t>
  </si>
  <si>
    <t>Bermuda</t>
  </si>
  <si>
    <t>BMU</t>
  </si>
  <si>
    <t>Northern America</t>
  </si>
  <si>
    <t>Bhutan</t>
  </si>
  <si>
    <t>BTN</t>
  </si>
  <si>
    <t>Bolivia</t>
  </si>
  <si>
    <t>Bolivia (Plurinational State of)</t>
  </si>
  <si>
    <t>BOL</t>
  </si>
  <si>
    <t>Bosnia and Herzegovina</t>
  </si>
  <si>
    <t>BIH</t>
  </si>
  <si>
    <t>Botswana</t>
  </si>
  <si>
    <t>BWA</t>
  </si>
  <si>
    <t>Brazil</t>
  </si>
  <si>
    <t>BRA</t>
  </si>
  <si>
    <t>British Virgin Islands</t>
  </si>
  <si>
    <t>VGB</t>
  </si>
  <si>
    <t xml:space="preserve">Brunei </t>
  </si>
  <si>
    <t>Brunei Darussalam</t>
  </si>
  <si>
    <t>BRN</t>
  </si>
  <si>
    <t>Bulgaria</t>
  </si>
  <si>
    <t>BGR</t>
  </si>
  <si>
    <t>Burkina Faso</t>
  </si>
  <si>
    <t>BFA</t>
  </si>
  <si>
    <t>Burundi</t>
  </si>
  <si>
    <t>BDI</t>
  </si>
  <si>
    <t>Cabo Verde</t>
  </si>
  <si>
    <t>CPV</t>
  </si>
  <si>
    <t>Cambodia</t>
  </si>
  <si>
    <t>KHM</t>
  </si>
  <si>
    <t>Cameroon</t>
  </si>
  <si>
    <t>CMR</t>
  </si>
  <si>
    <t>Canada</t>
  </si>
  <si>
    <t>CAN</t>
  </si>
  <si>
    <t>CAR</t>
  </si>
  <si>
    <t>Central African Republic</t>
  </si>
  <si>
    <t>CAF</t>
  </si>
  <si>
    <t>Caribbean Netherlands</t>
  </si>
  <si>
    <t>Bonaire, Sint Eustatius and Saba</t>
  </si>
  <si>
    <t>BES</t>
  </si>
  <si>
    <t>Cayman Islands</t>
  </si>
  <si>
    <t>CYM</t>
  </si>
  <si>
    <t>Chad</t>
  </si>
  <si>
    <t>TCD</t>
  </si>
  <si>
    <t>Channel Islands</t>
  </si>
  <si>
    <t>Guernsey</t>
  </si>
  <si>
    <t>GGY</t>
  </si>
  <si>
    <t>Chile</t>
  </si>
  <si>
    <t>CHL</t>
  </si>
  <si>
    <t>China</t>
  </si>
  <si>
    <t>CHN</t>
  </si>
  <si>
    <t>Colombia</t>
  </si>
  <si>
    <t>COL</t>
  </si>
  <si>
    <t>Comoros</t>
  </si>
  <si>
    <t>COM</t>
  </si>
  <si>
    <t>Congo</t>
  </si>
  <si>
    <t>COG</t>
  </si>
  <si>
    <t>Cook Islands</t>
  </si>
  <si>
    <t>COK</t>
  </si>
  <si>
    <t>Costa Rica</t>
  </si>
  <si>
    <t>CRI</t>
  </si>
  <si>
    <t>Croatia</t>
  </si>
  <si>
    <t>HRV</t>
  </si>
  <si>
    <t>Cuba</t>
  </si>
  <si>
    <t>CUB</t>
  </si>
  <si>
    <t>CuraÃ§ao</t>
  </si>
  <si>
    <t>CUW</t>
  </si>
  <si>
    <t>Cyprus</t>
  </si>
  <si>
    <t>CYP</t>
  </si>
  <si>
    <t>Czechia</t>
  </si>
  <si>
    <t>Czech Republic</t>
  </si>
  <si>
    <t>CZE</t>
  </si>
  <si>
    <t>Denmark</t>
  </si>
  <si>
    <t>DNK</t>
  </si>
  <si>
    <t>Djibouti</t>
  </si>
  <si>
    <t>DJI</t>
  </si>
  <si>
    <t>Dominica</t>
  </si>
  <si>
    <t>DMA</t>
  </si>
  <si>
    <t>Dominican Republic</t>
  </si>
  <si>
    <t>DOM</t>
  </si>
  <si>
    <t>Democratic Republic of the Congo</t>
  </si>
  <si>
    <t>COD</t>
  </si>
  <si>
    <t>Ecuador</t>
  </si>
  <si>
    <t>ECU</t>
  </si>
  <si>
    <t>Egypt</t>
  </si>
  <si>
    <t>EGY</t>
  </si>
  <si>
    <t>El Salvador</t>
  </si>
  <si>
    <t>SLV</t>
  </si>
  <si>
    <t>Equatorial Guinea</t>
  </si>
  <si>
    <t>GNQ</t>
  </si>
  <si>
    <t>Eritrea</t>
  </si>
  <si>
    <t>ERI</t>
  </si>
  <si>
    <t>Estonia</t>
  </si>
  <si>
    <t>EST</t>
  </si>
  <si>
    <t>Eswatini</t>
  </si>
  <si>
    <t>SWZ</t>
  </si>
  <si>
    <t>Ethiopia</t>
  </si>
  <si>
    <t>ETH</t>
  </si>
  <si>
    <t>Faeroe Islands</t>
  </si>
  <si>
    <t>FRO</t>
  </si>
  <si>
    <t>Falkland Islands</t>
  </si>
  <si>
    <t>Falkland Islands (Malvinas)</t>
  </si>
  <si>
    <t>FLK</t>
  </si>
  <si>
    <t>Fiji</t>
  </si>
  <si>
    <t>FJI</t>
  </si>
  <si>
    <t>Finland</t>
  </si>
  <si>
    <t>FIN</t>
  </si>
  <si>
    <t>France</t>
  </si>
  <si>
    <t>FRA</t>
  </si>
  <si>
    <t>French Guiana</t>
  </si>
  <si>
    <t>GUF</t>
  </si>
  <si>
    <t>French Polynesia</t>
  </si>
  <si>
    <t>PYF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</si>
  <si>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</si>
  <si>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</si>
  <si>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</si>
  <si>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</si>
  <si>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</si>
  <si>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</si>
  <si>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</si>
  <si>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</si>
  <si>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</si>
  <si>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</si>
  <si>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</si>
  <si>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</si>
  <si>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</si>
  <si>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</si>
  <si>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</si>
  <si>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</si>
  <si>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</si>
  <si>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</si>
  <si>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</si>
  <si>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</si>
  <si>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Guatemala</t>
  </si>
  <si>
    <t>GTM</t>
  </si>
  <si>
    <t>Guinea</t>
  </si>
  <si>
    <t>GIN</t>
  </si>
  <si>
    <t>Guinea-Bissau</t>
  </si>
  <si>
    <t>GNB</t>
  </si>
  <si>
    <t>Guyana</t>
  </si>
  <si>
    <t>GUY</t>
  </si>
  <si>
    <t>Haiti</t>
  </si>
  <si>
    <t>HTI</t>
  </si>
  <si>
    <t>Honduras</t>
  </si>
  <si>
    <t>HND</t>
  </si>
  <si>
    <t>Hong Kong</t>
  </si>
  <si>
    <t>China, Hong Kong Special Administrative Region</t>
  </si>
  <si>
    <t>HKG</t>
  </si>
  <si>
    <t>Hungary</t>
  </si>
  <si>
    <t>HUN</t>
  </si>
  <si>
    <t>Iceland</t>
  </si>
  <si>
    <t>ISL</t>
  </si>
  <si>
    <t>India</t>
  </si>
  <si>
    <t>IND</t>
  </si>
  <si>
    <t>Indonesia</t>
  </si>
  <si>
    <t>IDN</t>
  </si>
  <si>
    <t>Iran</t>
  </si>
  <si>
    <t>United Kingdom</t>
  </si>
  <si>
    <t>IRN</t>
  </si>
  <si>
    <t>Iraq</t>
  </si>
  <si>
    <t>IRQ</t>
  </si>
  <si>
    <t>Ireland</t>
  </si>
  <si>
    <t>IRL</t>
  </si>
  <si>
    <t>Isle of Man</t>
  </si>
  <si>
    <t>IMN</t>
  </si>
  <si>
    <t>Israel</t>
  </si>
  <si>
    <t>ISR</t>
  </si>
  <si>
    <t>Italy</t>
  </si>
  <si>
    <t>ITA</t>
  </si>
  <si>
    <t>Ivory Coast</t>
  </si>
  <si>
    <t>CÃƒÂ´te d'Ivoire</t>
  </si>
  <si>
    <t>CIV</t>
  </si>
  <si>
    <t>Jamaica</t>
  </si>
  <si>
    <t>JAM</t>
  </si>
  <si>
    <t>Japan</t>
  </si>
  <si>
    <t>JPN</t>
  </si>
  <si>
    <t>Jordan</t>
  </si>
  <si>
    <t>JOR</t>
  </si>
  <si>
    <t>Kazakhstan</t>
  </si>
  <si>
    <t>KAZ</t>
  </si>
  <si>
    <t>Kenya</t>
  </si>
  <si>
    <t>KEN</t>
  </si>
  <si>
    <t>Kiribati</t>
  </si>
  <si>
    <t>KIR</t>
  </si>
  <si>
    <t>Kuwait</t>
  </si>
  <si>
    <t>KWT</t>
  </si>
  <si>
    <t>Kyrgyzstan</t>
  </si>
  <si>
    <t>KGZ</t>
  </si>
  <si>
    <t>Laos</t>
  </si>
  <si>
    <t>Lao People's Democratic Republic</t>
  </si>
  <si>
    <t>LAO</t>
  </si>
  <si>
    <t>Latvia</t>
  </si>
  <si>
    <t>LVA</t>
  </si>
  <si>
    <t>Lebanon</t>
  </si>
  <si>
    <t>LBN</t>
  </si>
  <si>
    <t>Lesotho</t>
  </si>
  <si>
    <t>LSO</t>
  </si>
  <si>
    <t>Liberia</t>
  </si>
  <si>
    <t>LBR</t>
  </si>
  <si>
    <t>Libya</t>
  </si>
  <si>
    <t>LBY</t>
  </si>
  <si>
    <t>Liechtenstein</t>
  </si>
  <si>
    <t>LIE</t>
  </si>
  <si>
    <t>Lithuania</t>
  </si>
  <si>
    <t>LTU</t>
  </si>
  <si>
    <t>Luxembourg</t>
  </si>
  <si>
    <t>LUX</t>
  </si>
  <si>
    <t>Macao</t>
  </si>
  <si>
    <t>China, Macao Special Administrative Region</t>
  </si>
  <si>
    <t>MAC</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</si>
  <si>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</si>
  <si>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</si>
  <si>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</si>
  <si>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</si>
  <si>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</si>
  <si>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</si>
  <si>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</si>
  <si>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</si>
  <si>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</si>
  <si>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</si>
  <si>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</si>
  <si>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</si>
  <si>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</si>
  <si>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</si>
  <si>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</si>
  <si>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</si>
  <si>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</si>
  <si>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</si>
  <si>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</si>
  <si>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</si>
  <si>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</si>
  <si>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MYTÃ‚Â </t>
  </si>
  <si>
    <t>Mexico</t>
  </si>
  <si>
    <t>MEX</t>
  </si>
  <si>
    <t>Micronesia</t>
  </si>
  <si>
    <t>Micronesia (Federated States of)</t>
  </si>
  <si>
    <t>FSM</t>
  </si>
  <si>
    <t>Moldova</t>
  </si>
  <si>
    <t>Republic of Moldova</t>
  </si>
  <si>
    <t>MDA</t>
  </si>
  <si>
    <t>Monaco</t>
  </si>
  <si>
    <t>MCO</t>
  </si>
  <si>
    <t>Mongolia</t>
  </si>
  <si>
    <t>MNG</t>
  </si>
  <si>
    <t>Montenegro</t>
  </si>
  <si>
    <t>MNE</t>
  </si>
  <si>
    <t>Montserrat</t>
  </si>
  <si>
    <t>MSR</t>
  </si>
  <si>
    <t>Morocco</t>
  </si>
  <si>
    <t>MAR</t>
  </si>
  <si>
    <t>Mozambique</t>
  </si>
  <si>
    <t>MOZ</t>
  </si>
  <si>
    <t>Myanmar</t>
  </si>
  <si>
    <t>MMR</t>
  </si>
  <si>
    <t>Namibia</t>
  </si>
  <si>
    <t>NAM</t>
  </si>
  <si>
    <t>Nepal</t>
  </si>
  <si>
    <t>NPL</t>
  </si>
  <si>
    <t>Netherlands</t>
  </si>
  <si>
    <t>NLD</t>
  </si>
  <si>
    <t>New Caledonia</t>
  </si>
  <si>
    <t>NCL</t>
  </si>
  <si>
    <t>New Zealand</t>
  </si>
  <si>
    <t>NZL</t>
  </si>
  <si>
    <t>Nicaragua</t>
  </si>
  <si>
    <t>NIC</t>
  </si>
  <si>
    <t>Niger</t>
  </si>
  <si>
    <t>NER</t>
  </si>
  <si>
    <t>Nigeria</t>
  </si>
  <si>
    <t>NGA</t>
  </si>
  <si>
    <t>Niue</t>
  </si>
  <si>
    <t>NIU</t>
  </si>
  <si>
    <t>North Macedonia</t>
  </si>
  <si>
    <t>The former Yugoslav Republic of Macedonia</t>
  </si>
  <si>
    <t>MKD</t>
  </si>
  <si>
    <t>Norway</t>
  </si>
  <si>
    <t>NOR</t>
  </si>
  <si>
    <t>Oman</t>
  </si>
  <si>
    <t>OMN</t>
  </si>
  <si>
    <t>Pakistan</t>
  </si>
  <si>
    <t>PAK</t>
  </si>
  <si>
    <t>Palau</t>
  </si>
  <si>
    <t>PLW</t>
  </si>
  <si>
    <t>Palestine</t>
  </si>
  <si>
    <t>State of Palestine</t>
  </si>
  <si>
    <t>WBG</t>
  </si>
  <si>
    <t>Panama</t>
  </si>
  <si>
    <t>PAN</t>
  </si>
  <si>
    <t>Papua New Guinea</t>
  </si>
  <si>
    <t>PNG</t>
  </si>
  <si>
    <t>Paraguay</t>
  </si>
  <si>
    <t>PRY</t>
  </si>
  <si>
    <t>Peru</t>
  </si>
  <si>
    <t>PER</t>
  </si>
  <si>
    <t>Philippines</t>
  </si>
  <si>
    <t>PHL</t>
  </si>
  <si>
    <t>Poland</t>
  </si>
  <si>
    <t>POL</t>
  </si>
  <si>
    <t>Portugal</t>
  </si>
  <si>
    <t>PRT</t>
  </si>
  <si>
    <t>Qatar</t>
  </si>
  <si>
    <t>QAT</t>
  </si>
  <si>
    <t>RÃ©union</t>
  </si>
  <si>
    <t>RÃƒÂ©union</t>
  </si>
  <si>
    <t>REU</t>
  </si>
  <si>
    <t>Romania</t>
  </si>
  <si>
    <t>ROU</t>
  </si>
  <si>
    <t>Russia</t>
  </si>
  <si>
    <t>Russian Federation</t>
  </si>
  <si>
    <t>RUS</t>
  </si>
  <si>
    <t>Rwanda</t>
  </si>
  <si>
    <t>RWA</t>
  </si>
  <si>
    <t>S. Korea</t>
  </si>
  <si>
    <t>Republic of Korea</t>
  </si>
  <si>
    <t>KOR</t>
  </si>
  <si>
    <t>Saint Helena</t>
  </si>
  <si>
    <t>SHN</t>
  </si>
  <si>
    <t>Saint Kitts and Nevis</t>
  </si>
  <si>
    <t>KNA</t>
  </si>
  <si>
    <t>Saint Lucia</t>
  </si>
  <si>
    <t>LCA</t>
  </si>
  <si>
    <t>Saint Martin</t>
  </si>
  <si>
    <t>MAF</t>
  </si>
  <si>
    <t>Saint Pierre Miquelon</t>
  </si>
  <si>
    <t>Â Saint Pierre and Miquelon</t>
  </si>
  <si>
    <t>SPM</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</si>
  <si>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</si>
  <si>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</si>
  <si>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</si>
  <si>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</si>
  <si>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</si>
  <si>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</si>
  <si>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</si>
  <si>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</si>
  <si>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</si>
  <si>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</si>
  <si>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</si>
  <si>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</si>
  <si>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</si>
  <si>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</si>
  <si>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</si>
  <si>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</si>
  <si>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</si>
  <si>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</si>
  <si>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t>
  </si>
  <si>
    <t>SXM</t>
  </si>
  <si>
    <t>Slovakia</t>
  </si>
  <si>
    <t>SVK</t>
  </si>
  <si>
    <t>Slovenia</t>
  </si>
  <si>
    <t>SVN</t>
  </si>
  <si>
    <t>Solomon Islands</t>
  </si>
  <si>
    <t>SLB</t>
  </si>
  <si>
    <t>Somalia</t>
  </si>
  <si>
    <t>SOM</t>
  </si>
  <si>
    <t>South Africa</t>
  </si>
  <si>
    <t>ZAF</t>
  </si>
  <si>
    <t>South Sudan</t>
  </si>
  <si>
    <t>SSD</t>
  </si>
  <si>
    <t>Spain</t>
  </si>
  <si>
    <t>ESP</t>
  </si>
  <si>
    <t>Sri Lanka</t>
  </si>
  <si>
    <t>LKA</t>
  </si>
  <si>
    <t xml:space="preserve">St. Barth </t>
  </si>
  <si>
    <t>Saint BarthÃ©lemy</t>
  </si>
  <si>
    <t>BLM</t>
  </si>
  <si>
    <t>St. Vincent Grenadines</t>
  </si>
  <si>
    <t>Saint Vincent and the Grenadines</t>
  </si>
  <si>
    <t>VCT</t>
  </si>
  <si>
    <t>Sudan</t>
  </si>
  <si>
    <t>SDN</t>
  </si>
  <si>
    <t>Suriname</t>
  </si>
  <si>
    <t>SUR</t>
  </si>
  <si>
    <t>Sweden</t>
  </si>
  <si>
    <t>SWE</t>
  </si>
  <si>
    <t>Switzerland</t>
  </si>
  <si>
    <t>CHE</t>
  </si>
  <si>
    <t>Syria</t>
  </si>
  <si>
    <t>Syrian Arab Republic</t>
  </si>
  <si>
    <t>SYR</t>
  </si>
  <si>
    <t>Taiwan</t>
  </si>
  <si>
    <t>China, Taiwan Province of China</t>
  </si>
  <si>
    <t>TWN</t>
  </si>
  <si>
    <t>Tajikistan</t>
  </si>
  <si>
    <t>TJK</t>
  </si>
  <si>
    <t>Tanzania</t>
  </si>
  <si>
    <t>United Republic of Tanzania</t>
  </si>
  <si>
    <t>TZA</t>
  </si>
  <si>
    <t>Thailand</t>
  </si>
  <si>
    <t>THA</t>
  </si>
  <si>
    <t>Timor-Leste</t>
  </si>
  <si>
    <t>TLS</t>
  </si>
  <si>
    <t>Togo</t>
  </si>
  <si>
    <t>TGO</t>
  </si>
  <si>
    <t>Tonga</t>
  </si>
  <si>
    <t>TON</t>
  </si>
  <si>
    <t>Trinidad and Tobago</t>
  </si>
  <si>
    <t>TTO</t>
  </si>
  <si>
    <t>Tunisia</t>
  </si>
  <si>
    <t>TUN</t>
  </si>
  <si>
    <t>Turkey</t>
  </si>
  <si>
    <t>TUR</t>
  </si>
  <si>
    <t>Turks and Caicos</t>
  </si>
  <si>
    <t>Turks and Caicos Islands</t>
  </si>
  <si>
    <t>TCAÃ‚Â </t>
  </si>
  <si>
    <t>United Arab Emirates</t>
  </si>
  <si>
    <t>ARE</t>
  </si>
  <si>
    <t>Uganda</t>
  </si>
  <si>
    <t>UGA</t>
  </si>
  <si>
    <t>United Kingdom of Great Britain and Northern Ireland</t>
  </si>
  <si>
    <t>GBR</t>
  </si>
  <si>
    <t>Ukraine</t>
  </si>
  <si>
    <t>UKR</t>
  </si>
  <si>
    <t>Uruguay</t>
  </si>
  <si>
    <t>URY</t>
  </si>
  <si>
    <t>USA</t>
  </si>
  <si>
    <t>United States of America</t>
  </si>
  <si>
    <t>Uzbekistan</t>
  </si>
  <si>
    <t>UZB</t>
  </si>
  <si>
    <t>Vanuatu</t>
  </si>
  <si>
    <t>VUT</t>
  </si>
  <si>
    <t>Vatican City</t>
  </si>
  <si>
    <t>Holy See</t>
  </si>
  <si>
    <t>VAT</t>
  </si>
  <si>
    <t>Venezuela</t>
  </si>
  <si>
    <t>Venezuela (Bolivarian Republic of)</t>
  </si>
  <si>
    <t>VEN</t>
  </si>
  <si>
    <t>Vietnam</t>
  </si>
  <si>
    <t>Viet Nam</t>
  </si>
  <si>
    <t>VNM</t>
  </si>
  <si>
    <t>Wallis and Futuna</t>
  </si>
  <si>
    <t>Wallis and Futuna Islands</t>
  </si>
  <si>
    <t>WLF</t>
  </si>
  <si>
    <t>Western Sahara</t>
  </si>
  <si>
    <t>ESHÃ‚Â </t>
  </si>
  <si>
    <t>Yemen</t>
  </si>
  <si>
    <t>YEM</t>
  </si>
  <si>
    <t>Zambia</t>
  </si>
  <si>
    <t>ZMB</t>
  </si>
  <si>
    <t>Zimbabwe</t>
  </si>
  <si>
    <t>ZWE</t>
  </si>
  <si>
    <t xml:space="preserve">United Kingdom </t>
  </si>
  <si>
    <t>Total Cases/1M pop</t>
  </si>
  <si>
    <t>Total Deaths/1M pop</t>
  </si>
  <si>
    <t>Row Labels</t>
  </si>
  <si>
    <t>Sum of Total Cases</t>
  </si>
  <si>
    <t>UK</t>
  </si>
  <si>
    <t>UAE</t>
  </si>
  <si>
    <t>Sum of Total Deaths</t>
  </si>
  <si>
    <t>2.Compare the total number of cases and deaths across continents to identify which continent has been most affected by the pandemic.</t>
  </si>
  <si>
    <t>Sum of Death percentage</t>
  </si>
  <si>
    <t>1. Determine the top 5 countries with the highest total number of COVID-19 cases and deaths.</t>
  </si>
  <si>
    <t>3. Calculate the death percentage for each country and determine which countries have the highest death percentages.</t>
  </si>
  <si>
    <t>Recovered Cases</t>
  </si>
  <si>
    <t>Sum of Recovered Cases</t>
  </si>
  <si>
    <t>5. Analyze basic insights like total cases, total deaths.</t>
  </si>
  <si>
    <t>4. Find how many cases survived/recovered from pandemic and visualize it in a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</si>
</sst>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quot;M&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14999847407452621"/>
      <name val="Calibri"/>
      <family val="2"/>
      <scheme val="minor"/>
    </font>
    <font>
      <sz val="11"/>
      <color theme="0" tint="-0.249977111117893"/>
      <name val="Calibri"/>
      <family val="2"/>
      <scheme val="minor"/>
    </font>
    <font>
      <sz val="11"/>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3" fontId="0" fillId="0" borderId="0" xfId="0" applyNumberFormat="1"/>
    <xf numFmtId="10" fontId="0" fillId="0" borderId="0" xfId="42" applyNumberFormat="1"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18" fillId="33" borderId="0" xfId="0" applyFont="1" applyFill="1"/>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3" formatCode="#,##0"/>
    </dxf>
    <dxf>
      <numFmt numFmtId="3" formatCode="#,##0"/>
    </dxf>
    <dxf>
      <numFmt numFmtId="3" formatCode="#,##0"/>
    </dxf>
    <dxf>
      <numFmt numFmtId="3" formatCode="#,##0"/>
    </dxf>
    <dxf>
      <numFmt numFmtId="3" formatCode="#,##0"/>
    </dxf>
    <dxf>
      <numFmt numFmtId="0" formatCode="General"/>
    </dxf>
    <dxf>
      <numFmt numFmtId="3" formatCode="#,##0"/>
    </dxf>
    <dxf>
      <numFmt numFmtId="0" formatCode="General"/>
    </dxf>
    <dxf>
      <font>
        <b/>
        <i val="0"/>
        <sz val="14"/>
        <name val="Century Gothic"/>
        <family val="2"/>
        <scheme val="none"/>
      </font>
    </dxf>
    <dxf>
      <fill>
        <patternFill>
          <bgColor theme="0" tint="-0.24994659260841701"/>
        </patternFill>
      </fill>
    </dxf>
  </dxfs>
  <tableStyles count="1" defaultTableStyle="TableStyleMedium2" defaultPivotStyle="PivotStyleLight16">
    <tableStyle name="Slicer Style 1" pivot="0" table="0" count="9" xr9:uid="{A04254D2-BFCB-465C-ADCF-093820EC14F0}">
      <tableStyleElement type="wholeTable" dxfId="9"/>
      <tableStyleElement type="headerRow" dxfId="8"/>
    </tableStyle>
  </tableStyles>
  <colors>
    <mruColors>
      <color rgb="FFFF4747"/>
      <color rgb="FFF60000"/>
      <color rgb="FFD20000"/>
      <color rgb="FFB40000"/>
      <color rgb="FF56ACD2"/>
      <color rgb="FFED1313"/>
      <color rgb="FFC40000"/>
      <color rgb="FFD60000"/>
      <color rgb="FF77BCDB"/>
    </mruColors>
  </colors>
  <extLst>
    <ext xmlns:x14="http://schemas.microsoft.com/office/spreadsheetml/2009/9/main" uri="{46F421CA-312F-682f-3DD2-61675219B42D}">
      <x14:dxfs count="7">
        <dxf>
          <font>
            <name val="Century Gothic"/>
            <family val="2"/>
            <scheme val="none"/>
          </font>
          <fill>
            <patternFill>
              <bgColor rgb="FFFF0000"/>
            </patternFill>
          </fill>
        </dxf>
        <dxf>
          <font>
            <name val="Century Gothic"/>
            <family val="2"/>
            <scheme val="none"/>
          </font>
        </dxf>
        <dxf>
          <font>
            <name val="Century Gothic"/>
            <family val="2"/>
            <scheme val="none"/>
          </font>
          <fill>
            <patternFill patternType="solid">
              <bgColor rgb="FFFF0000"/>
            </patternFill>
          </fill>
        </dxf>
        <dxf>
          <font>
            <name val="Century Gothic"/>
            <family val="2"/>
            <scheme val="none"/>
          </font>
          <fill>
            <patternFill>
              <bgColor rgb="FFFF0000"/>
            </patternFill>
          </fill>
        </dxf>
        <dxf>
          <font>
            <name val="Century Gothic"/>
            <family val="2"/>
            <scheme val="none"/>
          </font>
          <fill>
            <patternFill>
              <bgColor rgb="FFFF0000"/>
            </patternFill>
          </fill>
        </dxf>
        <dxf>
          <font>
            <name val="Century Gothic"/>
            <family val="2"/>
            <scheme val="none"/>
          </font>
        </dxf>
        <dxf>
          <font>
            <name val="Century Gothic"/>
            <family val="2"/>
            <scheme val="none"/>
          </font>
          <fill>
            <patternFill>
              <bgColor theme="1" tint="0.49998474074526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[Covid-19.xlsx]Task 2!PivotTable2</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Century Gothic" panose="020B0502020202020204" pitchFamily="34" charset="0"/>
                <a:ea typeface="+mn-ea"/>
                <a:cs typeface="+mn-cs"/>
              </a:defRPr>
            </a:pPr>
            <a:r>
              <a:rPr lang="en-US" sz="1600" b="1">
                <a:solidFill>
                  <a:schemeClr val="tx1"/>
                </a:solidFill>
              </a:rPr>
              <a:t>Total Cases by Continent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w="19050">
            <a:noFill/>
          </a:ln>
          <a:effectLst/>
        </c:spPr>
      </c:pivotFmt>
      <c:pivotFmt>
        <c:idx val="2"/>
        <c:spPr>
          <a:solidFill>
            <a:srgbClr val="FF4747"/>
          </a:solidFill>
          <a:ln w="19050">
            <a:noFill/>
          </a:ln>
          <a:effectLst/>
        </c:spPr>
      </c:pivotFmt>
      <c:pivotFmt>
        <c:idx val="3"/>
        <c:spPr>
          <a:solidFill>
            <a:schemeClr val="accent6">
              <a:lumMod val="75000"/>
            </a:schemeClr>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65000"/>
              <a:lumOff val="35000"/>
            </a:schemeClr>
          </a:solidFill>
          <a:ln w="19050">
            <a:noFill/>
          </a:ln>
          <a:effectLst/>
        </c:spPr>
      </c:pivotFmt>
      <c:pivotFmt>
        <c:idx val="9"/>
        <c:spPr>
          <a:solidFill>
            <a:schemeClr val="accent1"/>
          </a:solidFill>
          <a:ln w="19050">
            <a:noFill/>
          </a:ln>
          <a:effectLst/>
        </c:spPr>
      </c:pivotFmt>
      <c:pivotFmt>
        <c:idx val="10"/>
        <c:spPr>
          <a:solidFill>
            <a:srgbClr val="FF4747"/>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6">
              <a:lumMod val="75000"/>
            </a:schemeClr>
          </a:solidFill>
          <a:ln w="19050">
            <a:no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w="19050">
            <a:noFill/>
          </a:ln>
          <a:effectLst/>
        </c:spPr>
      </c:pivotFmt>
      <c:pivotFmt>
        <c:idx val="16"/>
        <c:spPr>
          <a:solidFill>
            <a:schemeClr val="accent1"/>
          </a:solidFill>
          <a:ln w="19050">
            <a:noFill/>
          </a:ln>
          <a:effectLst/>
        </c:spPr>
      </c:pivotFmt>
      <c:pivotFmt>
        <c:idx val="17"/>
        <c:spPr>
          <a:solidFill>
            <a:srgbClr val="FF4747"/>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6">
              <a:lumMod val="75000"/>
            </a:schemeClr>
          </a:solidFill>
          <a:ln w="19050">
            <a:noFill/>
          </a:ln>
          <a:effectLst/>
        </c:spPr>
      </c:pivotFmt>
    </c:pivotFmts>
    <c:plotArea>
      <c:layout/>
      <c:pieChart>
        <c:varyColors val="1"/>
        <c:ser>
          <c:idx val="0"/>
          <c:order val="0"/>
          <c:tx>
            <c:strRef>
              <c:f>'Task 2'!$B$3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8FF-48BB-9788-83D49C38D809}"/>
              </c:ext>
            </c:extLst>
          </c:dPt>
          <c:dPt>
            <c:idx val="1"/>
            <c:bubble3D val="0"/>
            <c:spPr>
              <a:solidFill>
                <a:schemeClr val="accent2"/>
              </a:solidFill>
              <a:ln w="19050">
                <a:noFill/>
              </a:ln>
              <a:effectLst/>
            </c:spPr>
            <c:extLst>
              <c:ext xmlns:c16="http://schemas.microsoft.com/office/drawing/2014/chart" uri="{C3380CC4-5D6E-409C-BE32-E72D297353CC}">
                <c16:uniqueId val="{00000003-A8FF-48BB-9788-83D49C38D809}"/>
              </c:ext>
            </c:extLst>
          </c:dPt>
          <c:dPt>
            <c:idx val="2"/>
            <c:bubble3D val="0"/>
            <c:spPr>
              <a:solidFill>
                <a:schemeClr val="accent3"/>
              </a:solidFill>
              <a:ln w="19050">
                <a:noFill/>
              </a:ln>
              <a:effectLst/>
            </c:spPr>
            <c:extLst>
              <c:ext xmlns:c16="http://schemas.microsoft.com/office/drawing/2014/chart" uri="{C3380CC4-5D6E-409C-BE32-E72D297353CC}">
                <c16:uniqueId val="{00000005-A8FF-48BB-9788-83D49C38D809}"/>
              </c:ext>
            </c:extLst>
          </c:dPt>
          <c:dPt>
            <c:idx val="3"/>
            <c:bubble3D val="0"/>
            <c:spPr>
              <a:solidFill>
                <a:schemeClr val="accent4"/>
              </a:solidFill>
              <a:ln w="19050">
                <a:noFill/>
              </a:ln>
              <a:effectLst/>
            </c:spPr>
            <c:extLst>
              <c:ext xmlns:c16="http://schemas.microsoft.com/office/drawing/2014/chart" uri="{C3380CC4-5D6E-409C-BE32-E72D297353CC}">
                <c16:uniqueId val="{00000007-A8FF-48BB-9788-83D49C38D809}"/>
              </c:ext>
            </c:extLst>
          </c:dPt>
          <c:dPt>
            <c:idx val="4"/>
            <c:bubble3D val="0"/>
            <c:spPr>
              <a:solidFill>
                <a:schemeClr val="accent5"/>
              </a:solidFill>
              <a:ln w="19050">
                <a:noFill/>
              </a:ln>
              <a:effectLst/>
            </c:spPr>
            <c:extLst>
              <c:ext xmlns:c16="http://schemas.microsoft.com/office/drawing/2014/chart" uri="{C3380CC4-5D6E-409C-BE32-E72D297353CC}">
                <c16:uniqueId val="{00000009-A8FF-48BB-9788-83D49C38D809}"/>
              </c:ext>
            </c:extLst>
          </c:dPt>
          <c:dPt>
            <c:idx val="5"/>
            <c:bubble3D val="0"/>
            <c:spPr>
              <a:solidFill>
                <a:schemeClr val="accent6"/>
              </a:solidFill>
              <a:ln w="19050">
                <a:noFill/>
              </a:ln>
              <a:effectLst/>
            </c:spPr>
            <c:extLst>
              <c:ext xmlns:c16="http://schemas.microsoft.com/office/drawing/2014/chart" uri="{C3380CC4-5D6E-409C-BE32-E72D297353CC}">
                <c16:uniqueId val="{0000000B-A8FF-48BB-9788-83D49C38D809}"/>
              </c:ext>
            </c:extLst>
          </c:dPt>
          <c:cat>
            <c:strRef>
              <c:f>'Task 2'!$A$4</c:f>
              <c:strCache>
                <c:ptCount val="1"/>
                <c:pt idx="0">
                  <c:v>Oceania</c:v>
                </c:pt>
              </c:strCache>
            </c:strRef>
          </c:cat>
          <c:val>
            <c:numRef>
              <c:f>'Task 2'!$B$4</c:f>
              <c:numCache>
                <c:formatCode>#,##0</c:formatCode>
                <c:ptCount val="1"/>
                <c:pt idx="0">
                  <c:v>5647957</c:v>
                </c:pt>
              </c:numCache>
            </c:numRef>
          </c:val>
          <c:extLst>
            <c:ext xmlns:c16="http://schemas.microsoft.com/office/drawing/2014/chart" uri="{C3380CC4-5D6E-409C-BE32-E72D297353CC}">
              <c16:uniqueId val="{0000000F-7B85-4077-93CA-741B683BF4E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639007549152812"/>
          <c:y val="0.21037466993362991"/>
          <c:w val="0.34025374808754388"/>
          <c:h val="0.7537271877091191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5400" cap="flat" cmpd="sng" algn="ctr">
      <a:solidFill>
        <a:schemeClr val="tx1">
          <a:lumMod val="65000"/>
          <a:lumOff val="35000"/>
          <a:alpha val="59000"/>
        </a:schemeClr>
      </a:solid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[Covid-19.xlsx]Task 4!PivotTable11</c:name>
    <c:fmtId val="5"/>
  </c:pivotSource>
  <c:chart>
    <c:title>
      <c:tx>
        <c:rich>
          <a:bodyPr rot="0" spcFirstLastPara="1" vertOverflow="ellipsis" vert="horz" wrap="square" anchor="ctr" anchorCtr="1"/>
          <a:lstStyle/>
          <a:p>
            <a:pPr>
              <a:defRPr sz="1800" b="1" i="0" u="none" strike="noStrike" kern="1200" baseline="0">
                <a:solidFill>
                  <a:schemeClr val="tx1"/>
                </a:solidFill>
                <a:latin typeface="Century Gothic" panose="020B0502020202020204" pitchFamily="34" charset="0"/>
                <a:ea typeface="+mn-ea"/>
                <a:cs typeface="+mn-cs"/>
              </a:defRPr>
            </a:pPr>
            <a:r>
              <a:rPr lang="en-US"/>
              <a:t>Recovered</a:t>
            </a:r>
            <a:r>
              <a:rPr lang="en-US" baseline="0"/>
              <a:t> Cases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Century Gothic" panose="020B0502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dLbl>
          <c:idx val="0"/>
          <c:showLegendKey val="0"/>
          <c:showVal val="0"/>
          <c:showCatName val="0"/>
          <c:showSerName val="0"/>
          <c:showPercent val="0"/>
          <c:showBubbleSize val="0"/>
          <c:extLst>
            <c:ext xmlns:c15="http://schemas.microsoft.com/office/drawing/2012/chart" uri="{CE6537A1-D6FC-4f65-9D91-7224C49458BB}"/>
          </c:extLst>
        </c:dLbl>
      </c:pivotFmt>
      <c:pivotFmt>
        <c:idx val="461"/>
        <c:dLbl>
          <c:idx val="0"/>
          <c:showLegendKey val="0"/>
          <c:showVal val="0"/>
          <c:showCatName val="0"/>
          <c:showSerName val="0"/>
          <c:showPercent val="0"/>
          <c:showBubbleSize val="0"/>
          <c:extLst>
            <c:ext xmlns:c15="http://schemas.microsoft.com/office/drawing/2012/chart" uri="{CE6537A1-D6FC-4f65-9D91-7224C49458BB}"/>
          </c:extLst>
        </c:dLbl>
      </c:pivotFmt>
      <c:pivotFmt>
        <c:idx val="462"/>
        <c:dLbl>
          <c:idx val="0"/>
          <c:showLegendKey val="0"/>
          <c:showVal val="0"/>
          <c:showCatName val="0"/>
          <c:showSerName val="0"/>
          <c:showPercent val="0"/>
          <c:showBubbleSize val="0"/>
          <c:extLst>
            <c:ext xmlns:c15="http://schemas.microsoft.com/office/drawing/2012/chart" uri="{CE6537A1-D6FC-4f65-9D91-7224C49458BB}"/>
          </c:extLst>
        </c:dLbl>
      </c:pivotFmt>
      <c:pivotFmt>
        <c:idx val="463"/>
        <c:dLbl>
          <c:idx val="0"/>
          <c:showLegendKey val="0"/>
          <c:showVal val="0"/>
          <c:showCatName val="0"/>
          <c:showSerName val="0"/>
          <c:showPercent val="0"/>
          <c:showBubbleSize val="0"/>
          <c:extLst>
            <c:ext xmlns:c15="http://schemas.microsoft.com/office/drawing/2012/chart" uri="{CE6537A1-D6FC-4f65-9D91-7224C49458BB}"/>
          </c:extLst>
        </c:dLbl>
      </c:pivotFmt>
      <c:pivotFmt>
        <c:idx val="464"/>
        <c:dLbl>
          <c:idx val="0"/>
          <c:showLegendKey val="0"/>
          <c:showVal val="0"/>
          <c:showCatName val="0"/>
          <c:showSerName val="0"/>
          <c:showPercent val="0"/>
          <c:showBubbleSize val="0"/>
          <c:extLst>
            <c:ext xmlns:c15="http://schemas.microsoft.com/office/drawing/2012/chart" uri="{CE6537A1-D6FC-4f65-9D91-7224C49458BB}"/>
          </c:extLst>
        </c:dLbl>
      </c:pivotFmt>
      <c:pivotFmt>
        <c:idx val="465"/>
        <c:dLbl>
          <c:idx val="0"/>
          <c:showLegendKey val="0"/>
          <c:showVal val="0"/>
          <c:showCatName val="0"/>
          <c:showSerName val="0"/>
          <c:showPercent val="0"/>
          <c:showBubbleSize val="0"/>
          <c:extLst>
            <c:ext xmlns:c15="http://schemas.microsoft.com/office/drawing/2012/chart" uri="{CE6537A1-D6FC-4f65-9D91-7224C49458BB}"/>
          </c:extLst>
        </c:dLbl>
      </c:pivotFmt>
      <c:pivotFmt>
        <c:idx val="466"/>
        <c:dLbl>
          <c:idx val="0"/>
          <c:showLegendKey val="0"/>
          <c:showVal val="0"/>
          <c:showCatName val="0"/>
          <c:showSerName val="0"/>
          <c:showPercent val="0"/>
          <c:showBubbleSize val="0"/>
          <c:extLst>
            <c:ext xmlns:c15="http://schemas.microsoft.com/office/drawing/2012/chart" uri="{CE6537A1-D6FC-4f65-9D91-7224C49458BB}"/>
          </c:extLst>
        </c:dLbl>
      </c:pivotFmt>
      <c:pivotFmt>
        <c:idx val="467"/>
        <c:dLbl>
          <c:idx val="0"/>
          <c:showLegendKey val="0"/>
          <c:showVal val="0"/>
          <c:showCatName val="0"/>
          <c:showSerName val="0"/>
          <c:showPercent val="0"/>
          <c:showBubbleSize val="0"/>
          <c:extLst>
            <c:ext xmlns:c15="http://schemas.microsoft.com/office/drawing/2012/chart" uri="{CE6537A1-D6FC-4f65-9D91-7224C49458BB}"/>
          </c:extLst>
        </c:dLbl>
      </c:pivotFmt>
      <c:pivotFmt>
        <c:idx val="468"/>
        <c:dLbl>
          <c:idx val="0"/>
          <c:showLegendKey val="0"/>
          <c:showVal val="0"/>
          <c:showCatName val="0"/>
          <c:showSerName val="0"/>
          <c:showPercent val="0"/>
          <c:showBubbleSize val="0"/>
          <c:extLst>
            <c:ext xmlns:c15="http://schemas.microsoft.com/office/drawing/2012/chart" uri="{CE6537A1-D6FC-4f65-9D91-7224C49458BB}"/>
          </c:extLst>
        </c:dLbl>
      </c:pivotFmt>
      <c:pivotFmt>
        <c:idx val="469"/>
        <c:dLbl>
          <c:idx val="0"/>
          <c:showLegendKey val="0"/>
          <c:showVal val="0"/>
          <c:showCatName val="0"/>
          <c:showSerName val="0"/>
          <c:showPercent val="0"/>
          <c:showBubbleSize val="0"/>
          <c:extLst>
            <c:ext xmlns:c15="http://schemas.microsoft.com/office/drawing/2012/chart" uri="{CE6537A1-D6FC-4f65-9D91-7224C49458BB}"/>
          </c:extLst>
        </c:dLbl>
      </c:pivotFmt>
      <c:pivotFmt>
        <c:idx val="470"/>
        <c:dLbl>
          <c:idx val="0"/>
          <c:showLegendKey val="0"/>
          <c:showVal val="0"/>
          <c:showCatName val="0"/>
          <c:showSerName val="0"/>
          <c:showPercent val="0"/>
          <c:showBubbleSize val="0"/>
          <c:extLst>
            <c:ext xmlns:c15="http://schemas.microsoft.com/office/drawing/2012/chart" uri="{CE6537A1-D6FC-4f65-9D91-7224C49458BB}"/>
          </c:extLst>
        </c:dLbl>
      </c:pivotFmt>
      <c:pivotFmt>
        <c:idx val="471"/>
        <c:dLbl>
          <c:idx val="0"/>
          <c:showLegendKey val="0"/>
          <c:showVal val="0"/>
          <c:showCatName val="0"/>
          <c:showSerName val="0"/>
          <c:showPercent val="0"/>
          <c:showBubbleSize val="0"/>
          <c:extLst>
            <c:ext xmlns:c15="http://schemas.microsoft.com/office/drawing/2012/chart" uri="{CE6537A1-D6FC-4f65-9D91-7224C49458BB}"/>
          </c:extLst>
        </c:dLbl>
      </c:pivotFmt>
      <c:pivotFmt>
        <c:idx val="472"/>
        <c:dLbl>
          <c:idx val="0"/>
          <c:showLegendKey val="0"/>
          <c:showVal val="0"/>
          <c:showCatName val="0"/>
          <c:showSerName val="0"/>
          <c:showPercent val="0"/>
          <c:showBubbleSize val="0"/>
          <c:extLst>
            <c:ext xmlns:c15="http://schemas.microsoft.com/office/drawing/2012/chart" uri="{CE6537A1-D6FC-4f65-9D91-7224C49458BB}"/>
          </c:extLst>
        </c:dLbl>
      </c:pivotFmt>
      <c:pivotFmt>
        <c:idx val="473"/>
        <c:dLbl>
          <c:idx val="0"/>
          <c:showLegendKey val="0"/>
          <c:showVal val="0"/>
          <c:showCatName val="0"/>
          <c:showSerName val="0"/>
          <c:showPercent val="0"/>
          <c:showBubbleSize val="0"/>
          <c:extLst>
            <c:ext xmlns:c15="http://schemas.microsoft.com/office/drawing/2012/chart" uri="{CE6537A1-D6FC-4f65-9D91-7224C49458BB}"/>
          </c:extLst>
        </c:dLbl>
      </c:pivotFmt>
      <c:pivotFmt>
        <c:idx val="474"/>
        <c:dLbl>
          <c:idx val="0"/>
          <c:showLegendKey val="0"/>
          <c:showVal val="0"/>
          <c:showCatName val="0"/>
          <c:showSerName val="0"/>
          <c:showPercent val="0"/>
          <c:showBubbleSize val="0"/>
          <c:extLst>
            <c:ext xmlns:c15="http://schemas.microsoft.com/office/drawing/2012/chart" uri="{CE6537A1-D6FC-4f65-9D91-7224C49458BB}"/>
          </c:extLst>
        </c:dLbl>
      </c:pivotFmt>
      <c:pivotFmt>
        <c:idx val="475"/>
        <c:dLbl>
          <c:idx val="0"/>
          <c:showLegendKey val="0"/>
          <c:showVal val="0"/>
          <c:showCatName val="0"/>
          <c:showSerName val="0"/>
          <c:showPercent val="0"/>
          <c:showBubbleSize val="0"/>
          <c:extLst>
            <c:ext xmlns:c15="http://schemas.microsoft.com/office/drawing/2012/chart" uri="{CE6537A1-D6FC-4f65-9D91-7224C49458BB}"/>
          </c:extLst>
        </c:dLbl>
      </c:pivotFmt>
      <c:pivotFmt>
        <c:idx val="476"/>
        <c:dLbl>
          <c:idx val="0"/>
          <c:showLegendKey val="0"/>
          <c:showVal val="0"/>
          <c:showCatName val="0"/>
          <c:showSerName val="0"/>
          <c:showPercent val="0"/>
          <c:showBubbleSize val="0"/>
          <c:extLst>
            <c:ext xmlns:c15="http://schemas.microsoft.com/office/drawing/2012/chart" uri="{CE6537A1-D6FC-4f65-9D91-7224C49458BB}"/>
          </c:extLst>
        </c:dLbl>
      </c:pivotFmt>
      <c:pivotFmt>
        <c:idx val="477"/>
        <c:dLbl>
          <c:idx val="0"/>
          <c:showLegendKey val="0"/>
          <c:showVal val="0"/>
          <c:showCatName val="0"/>
          <c:showSerName val="0"/>
          <c:showPercent val="0"/>
          <c:showBubbleSize val="0"/>
          <c:extLst>
            <c:ext xmlns:c15="http://schemas.microsoft.com/office/drawing/2012/chart" uri="{CE6537A1-D6FC-4f65-9D91-7224C49458BB}"/>
          </c:extLst>
        </c:dLbl>
      </c:pivotFmt>
      <c:pivotFmt>
        <c:idx val="478"/>
        <c:dLbl>
          <c:idx val="0"/>
          <c:showLegendKey val="0"/>
          <c:showVal val="0"/>
          <c:showCatName val="0"/>
          <c:showSerName val="0"/>
          <c:showPercent val="0"/>
          <c:showBubbleSize val="0"/>
          <c:extLst>
            <c:ext xmlns:c15="http://schemas.microsoft.com/office/drawing/2012/chart" uri="{CE6537A1-D6FC-4f65-9D91-7224C49458BB}"/>
          </c:extLst>
        </c:dLbl>
      </c:pivotFmt>
      <c:pivotFmt>
        <c:idx val="479"/>
        <c:dLbl>
          <c:idx val="0"/>
          <c:showLegendKey val="0"/>
          <c:showVal val="0"/>
          <c:showCatName val="0"/>
          <c:showSerName val="0"/>
          <c:showPercent val="0"/>
          <c:showBubbleSize val="0"/>
          <c:extLst>
            <c:ext xmlns:c15="http://schemas.microsoft.com/office/drawing/2012/chart" uri="{CE6537A1-D6FC-4f65-9D91-7224C49458BB}"/>
          </c:extLst>
        </c:dLbl>
      </c:pivotFmt>
      <c:pivotFmt>
        <c:idx val="480"/>
        <c:dLbl>
          <c:idx val="0"/>
          <c:showLegendKey val="0"/>
          <c:showVal val="0"/>
          <c:showCatName val="0"/>
          <c:showSerName val="0"/>
          <c:showPercent val="0"/>
          <c:showBubbleSize val="0"/>
          <c:extLst>
            <c:ext xmlns:c15="http://schemas.microsoft.com/office/drawing/2012/chart" uri="{CE6537A1-D6FC-4f65-9D91-7224C49458BB}"/>
          </c:extLst>
        </c:dLbl>
      </c:pivotFmt>
      <c:pivotFmt>
        <c:idx val="481"/>
        <c:dLbl>
          <c:idx val="0"/>
          <c:showLegendKey val="0"/>
          <c:showVal val="0"/>
          <c:showCatName val="0"/>
          <c:showSerName val="0"/>
          <c:showPercent val="0"/>
          <c:showBubbleSize val="0"/>
          <c:extLst>
            <c:ext xmlns:c15="http://schemas.microsoft.com/office/drawing/2012/chart" uri="{CE6537A1-D6FC-4f65-9D91-7224C49458BB}"/>
          </c:extLst>
        </c:dLbl>
      </c:pivotFmt>
      <c:pivotFmt>
        <c:idx val="482"/>
        <c:dLbl>
          <c:idx val="0"/>
          <c:showLegendKey val="0"/>
          <c:showVal val="0"/>
          <c:showCatName val="0"/>
          <c:showSerName val="0"/>
          <c:showPercent val="0"/>
          <c:showBubbleSize val="0"/>
          <c:extLst>
            <c:ext xmlns:c15="http://schemas.microsoft.com/office/drawing/2012/chart" uri="{CE6537A1-D6FC-4f65-9D91-7224C49458BB}"/>
          </c:extLst>
        </c:dLbl>
      </c:pivotFmt>
      <c:pivotFmt>
        <c:idx val="483"/>
        <c:dLbl>
          <c:idx val="0"/>
          <c:showLegendKey val="0"/>
          <c:showVal val="0"/>
          <c:showCatName val="0"/>
          <c:showSerName val="0"/>
          <c:showPercent val="0"/>
          <c:showBubbleSize val="0"/>
          <c:extLst>
            <c:ext xmlns:c15="http://schemas.microsoft.com/office/drawing/2012/chart" uri="{CE6537A1-D6FC-4f65-9D91-7224C49458BB}"/>
          </c:extLst>
        </c:dLbl>
      </c:pivotFmt>
      <c:pivotFmt>
        <c:idx val="484"/>
        <c:dLbl>
          <c:idx val="0"/>
          <c:showLegendKey val="0"/>
          <c:showVal val="0"/>
          <c:showCatName val="0"/>
          <c:showSerName val="0"/>
          <c:showPercent val="0"/>
          <c:showBubbleSize val="0"/>
          <c:extLst>
            <c:ext xmlns:c15="http://schemas.microsoft.com/office/drawing/2012/chart" uri="{CE6537A1-D6FC-4f65-9D91-7224C49458BB}"/>
          </c:extLst>
        </c:dLbl>
      </c:pivotFmt>
      <c:pivotFmt>
        <c:idx val="485"/>
        <c:dLbl>
          <c:idx val="0"/>
          <c:showLegendKey val="0"/>
          <c:showVal val="0"/>
          <c:showCatName val="0"/>
          <c:showSerName val="0"/>
          <c:showPercent val="0"/>
          <c:showBubbleSize val="0"/>
          <c:extLst>
            <c:ext xmlns:c15="http://schemas.microsoft.com/office/drawing/2012/chart" uri="{CE6537A1-D6FC-4f65-9D91-7224C49458BB}"/>
          </c:extLst>
        </c:dLbl>
      </c:pivotFmt>
      <c:pivotFmt>
        <c:idx val="486"/>
        <c:dLbl>
          <c:idx val="0"/>
          <c:showLegendKey val="0"/>
          <c:showVal val="0"/>
          <c:showCatName val="0"/>
          <c:showSerName val="0"/>
          <c:showPercent val="0"/>
          <c:showBubbleSize val="0"/>
          <c:extLst>
            <c:ext xmlns:c15="http://schemas.microsoft.com/office/drawing/2012/chart" uri="{CE6537A1-D6FC-4f65-9D91-7224C49458BB}"/>
          </c:extLst>
        </c:dLbl>
      </c:pivotFmt>
      <c:pivotFmt>
        <c:idx val="487"/>
        <c:dLbl>
          <c:idx val="0"/>
          <c:showLegendKey val="0"/>
          <c:showVal val="0"/>
          <c:showCatName val="0"/>
          <c:showSerName val="0"/>
          <c:showPercent val="0"/>
          <c:showBubbleSize val="0"/>
          <c:extLst>
            <c:ext xmlns:c15="http://schemas.microsoft.com/office/drawing/2012/chart" uri="{CE6537A1-D6FC-4f65-9D91-7224C49458BB}"/>
          </c:extLst>
        </c:dLbl>
      </c:pivotFmt>
      <c:pivotFmt>
        <c:idx val="488"/>
        <c:dLbl>
          <c:idx val="0"/>
          <c:showLegendKey val="0"/>
          <c:showVal val="0"/>
          <c:showCatName val="0"/>
          <c:showSerName val="0"/>
          <c:showPercent val="0"/>
          <c:showBubbleSize val="0"/>
          <c:extLst>
            <c:ext xmlns:c15="http://schemas.microsoft.com/office/drawing/2012/chart" uri="{CE6537A1-D6FC-4f65-9D91-7224C49458BB}"/>
          </c:extLst>
        </c:dLbl>
      </c:pivotFmt>
      <c:pivotFmt>
        <c:idx val="489"/>
        <c:dLbl>
          <c:idx val="0"/>
          <c:showLegendKey val="0"/>
          <c:showVal val="0"/>
          <c:showCatName val="0"/>
          <c:showSerName val="0"/>
          <c:showPercent val="0"/>
          <c:showBubbleSize val="0"/>
          <c:extLst>
            <c:ext xmlns:c15="http://schemas.microsoft.com/office/drawing/2012/chart" uri="{CE6537A1-D6FC-4f65-9D91-7224C49458BB}"/>
          </c:extLst>
        </c:dLbl>
      </c:pivotFmt>
      <c:pivotFmt>
        <c:idx val="490"/>
        <c:dLbl>
          <c:idx val="0"/>
          <c:showLegendKey val="0"/>
          <c:showVal val="0"/>
          <c:showCatName val="0"/>
          <c:showSerName val="0"/>
          <c:showPercent val="0"/>
          <c:showBubbleSize val="0"/>
          <c:extLst>
            <c:ext xmlns:c15="http://schemas.microsoft.com/office/drawing/2012/chart" uri="{CE6537A1-D6FC-4f65-9D91-7224C49458BB}"/>
          </c:extLst>
        </c:dLbl>
      </c:pivotFmt>
      <c:pivotFmt>
        <c:idx val="491"/>
        <c:dLbl>
          <c:idx val="0"/>
          <c:showLegendKey val="0"/>
          <c:showVal val="0"/>
          <c:showCatName val="0"/>
          <c:showSerName val="0"/>
          <c:showPercent val="0"/>
          <c:showBubbleSize val="0"/>
          <c:extLst>
            <c:ext xmlns:c15="http://schemas.microsoft.com/office/drawing/2012/chart" uri="{CE6537A1-D6FC-4f65-9D91-7224C49458BB}"/>
          </c:extLst>
        </c:dLbl>
      </c:pivotFmt>
      <c:pivotFmt>
        <c:idx val="492"/>
        <c:dLbl>
          <c:idx val="0"/>
          <c:showLegendKey val="0"/>
          <c:showVal val="0"/>
          <c:showCatName val="0"/>
          <c:showSerName val="0"/>
          <c:showPercent val="0"/>
          <c:showBubbleSize val="0"/>
          <c:extLst>
            <c:ext xmlns:c15="http://schemas.microsoft.com/office/drawing/2012/chart" uri="{CE6537A1-D6FC-4f65-9D91-7224C49458BB}"/>
          </c:extLst>
        </c:dLbl>
      </c:pivotFmt>
      <c:pivotFmt>
        <c:idx val="493"/>
        <c:dLbl>
          <c:idx val="0"/>
          <c:showLegendKey val="0"/>
          <c:showVal val="0"/>
          <c:showCatName val="0"/>
          <c:showSerName val="0"/>
          <c:showPercent val="0"/>
          <c:showBubbleSize val="0"/>
          <c:extLst>
            <c:ext xmlns:c15="http://schemas.microsoft.com/office/drawing/2012/chart" uri="{CE6537A1-D6FC-4f65-9D91-7224C49458BB}"/>
          </c:extLst>
        </c:dLbl>
      </c:pivotFmt>
      <c:pivotFmt>
        <c:idx val="494"/>
        <c:dLbl>
          <c:idx val="0"/>
          <c:showLegendKey val="0"/>
          <c:showVal val="0"/>
          <c:showCatName val="0"/>
          <c:showSerName val="0"/>
          <c:showPercent val="0"/>
          <c:showBubbleSize val="0"/>
          <c:extLst>
            <c:ext xmlns:c15="http://schemas.microsoft.com/office/drawing/2012/chart" uri="{CE6537A1-D6FC-4f65-9D91-7224C49458BB}"/>
          </c:extLst>
        </c:dLbl>
      </c:pivotFmt>
      <c:pivotFmt>
        <c:idx val="495"/>
        <c:dLbl>
          <c:idx val="0"/>
          <c:showLegendKey val="0"/>
          <c:showVal val="0"/>
          <c:showCatName val="0"/>
          <c:showSerName val="0"/>
          <c:showPercent val="0"/>
          <c:showBubbleSize val="0"/>
          <c:extLst>
            <c:ext xmlns:c15="http://schemas.microsoft.com/office/drawing/2012/chart" uri="{CE6537A1-D6FC-4f65-9D91-7224C49458BB}"/>
          </c:extLst>
        </c:dLbl>
      </c:pivotFmt>
      <c:pivotFmt>
        <c:idx val="496"/>
        <c:dLbl>
          <c:idx val="0"/>
          <c:showLegendKey val="0"/>
          <c:showVal val="0"/>
          <c:showCatName val="0"/>
          <c:showSerName val="0"/>
          <c:showPercent val="0"/>
          <c:showBubbleSize val="0"/>
          <c:extLst>
            <c:ext xmlns:c15="http://schemas.microsoft.com/office/drawing/2012/chart" uri="{CE6537A1-D6FC-4f65-9D91-7224C49458BB}"/>
          </c:extLst>
        </c:dLbl>
      </c:pivotFmt>
      <c:pivotFmt>
        <c:idx val="497"/>
        <c:dLbl>
          <c:idx val="0"/>
          <c:showLegendKey val="0"/>
          <c:showVal val="0"/>
          <c:showCatName val="0"/>
          <c:showSerName val="0"/>
          <c:showPercent val="0"/>
          <c:showBubbleSize val="0"/>
          <c:extLst>
            <c:ext xmlns:c15="http://schemas.microsoft.com/office/drawing/2012/chart" uri="{CE6537A1-D6FC-4f65-9D91-7224C49458BB}"/>
          </c:extLst>
        </c:dLbl>
      </c:pivotFmt>
      <c:pivotFmt>
        <c:idx val="498"/>
        <c:dLbl>
          <c:idx val="0"/>
          <c:showLegendKey val="0"/>
          <c:showVal val="0"/>
          <c:showCatName val="0"/>
          <c:showSerName val="0"/>
          <c:showPercent val="0"/>
          <c:showBubbleSize val="0"/>
          <c:extLst>
            <c:ext xmlns:c15="http://schemas.microsoft.com/office/drawing/2012/chart" uri="{CE6537A1-D6FC-4f65-9D91-7224C49458BB}"/>
          </c:extLst>
        </c:dLbl>
      </c:pivotFmt>
      <c:pivotFmt>
        <c:idx val="499"/>
        <c:dLbl>
          <c:idx val="0"/>
          <c:showLegendKey val="0"/>
          <c:showVal val="0"/>
          <c:showCatName val="0"/>
          <c:showSerName val="0"/>
          <c:showPercent val="0"/>
          <c:showBubbleSize val="0"/>
          <c:extLst>
            <c:ext xmlns:c15="http://schemas.microsoft.com/office/drawing/2012/chart" uri="{CE6537A1-D6FC-4f65-9D91-7224C49458BB}"/>
          </c:extLst>
        </c:dLbl>
      </c:pivotFmt>
      <c:pivotFmt>
        <c:idx val="500"/>
        <c:dLbl>
          <c:idx val="0"/>
          <c:showLegendKey val="0"/>
          <c:showVal val="0"/>
          <c:showCatName val="0"/>
          <c:showSerName val="0"/>
          <c:showPercent val="0"/>
          <c:showBubbleSize val="0"/>
          <c:extLst>
            <c:ext xmlns:c15="http://schemas.microsoft.com/office/drawing/2012/chart" uri="{CE6537A1-D6FC-4f65-9D91-7224C49458BB}"/>
          </c:extLst>
        </c:dLbl>
      </c:pivotFmt>
      <c:pivotFmt>
        <c:idx val="501"/>
        <c:dLbl>
          <c:idx val="0"/>
          <c:showLegendKey val="0"/>
          <c:showVal val="0"/>
          <c:showCatName val="0"/>
          <c:showSerName val="0"/>
          <c:showPercent val="0"/>
          <c:showBubbleSize val="0"/>
          <c:extLst>
            <c:ext xmlns:c15="http://schemas.microsoft.com/office/drawing/2012/chart" uri="{CE6537A1-D6FC-4f65-9D91-7224C49458BB}"/>
          </c:extLst>
        </c:dLbl>
      </c:pivotFmt>
      <c:pivotFmt>
        <c:idx val="502"/>
        <c:dLbl>
          <c:idx val="0"/>
          <c:showLegendKey val="0"/>
          <c:showVal val="0"/>
          <c:showCatName val="0"/>
          <c:showSerName val="0"/>
          <c:showPercent val="0"/>
          <c:showBubbleSize val="0"/>
          <c:extLst>
            <c:ext xmlns:c15="http://schemas.microsoft.com/office/drawing/2012/chart" uri="{CE6537A1-D6FC-4f65-9D91-7224C49458BB}"/>
          </c:extLst>
        </c:dLbl>
      </c:pivotFmt>
      <c:pivotFmt>
        <c:idx val="503"/>
        <c:dLbl>
          <c:idx val="0"/>
          <c:showLegendKey val="0"/>
          <c:showVal val="0"/>
          <c:showCatName val="0"/>
          <c:showSerName val="0"/>
          <c:showPercent val="0"/>
          <c:showBubbleSize val="0"/>
          <c:extLst>
            <c:ext xmlns:c15="http://schemas.microsoft.com/office/drawing/2012/chart" uri="{CE6537A1-D6FC-4f65-9D91-7224C49458BB}"/>
          </c:extLst>
        </c:dLbl>
      </c:pivotFmt>
      <c:pivotFmt>
        <c:idx val="504"/>
        <c:dLbl>
          <c:idx val="0"/>
          <c:showLegendKey val="0"/>
          <c:showVal val="0"/>
          <c:showCatName val="0"/>
          <c:showSerName val="0"/>
          <c:showPercent val="0"/>
          <c:showBubbleSize val="0"/>
          <c:extLst>
            <c:ext xmlns:c15="http://schemas.microsoft.com/office/drawing/2012/chart" uri="{CE6537A1-D6FC-4f65-9D91-7224C49458BB}"/>
          </c:extLst>
        </c:dLbl>
      </c:pivotFmt>
      <c:pivotFmt>
        <c:idx val="505"/>
        <c:dLbl>
          <c:idx val="0"/>
          <c:showLegendKey val="0"/>
          <c:showVal val="0"/>
          <c:showCatName val="0"/>
          <c:showSerName val="0"/>
          <c:showPercent val="0"/>
          <c:showBubbleSize val="0"/>
          <c:extLst>
            <c:ext xmlns:c15="http://schemas.microsoft.com/office/drawing/2012/chart" uri="{CE6537A1-D6FC-4f65-9D91-7224C49458BB}"/>
          </c:extLst>
        </c:dLbl>
      </c:pivotFmt>
      <c:pivotFmt>
        <c:idx val="506"/>
        <c:dLbl>
          <c:idx val="0"/>
          <c:showLegendKey val="0"/>
          <c:showVal val="0"/>
          <c:showCatName val="0"/>
          <c:showSerName val="0"/>
          <c:showPercent val="0"/>
          <c:showBubbleSize val="0"/>
          <c:extLst>
            <c:ext xmlns:c15="http://schemas.microsoft.com/office/drawing/2012/chart" uri="{CE6537A1-D6FC-4f65-9D91-7224C49458BB}"/>
          </c:extLst>
        </c:dLbl>
      </c:pivotFmt>
      <c:pivotFmt>
        <c:idx val="507"/>
        <c:dLbl>
          <c:idx val="0"/>
          <c:showLegendKey val="0"/>
          <c:showVal val="0"/>
          <c:showCatName val="0"/>
          <c:showSerName val="0"/>
          <c:showPercent val="0"/>
          <c:showBubbleSize val="0"/>
          <c:extLst>
            <c:ext xmlns:c15="http://schemas.microsoft.com/office/drawing/2012/chart" uri="{CE6537A1-D6FC-4f65-9D91-7224C49458BB}"/>
          </c:extLst>
        </c:dLbl>
      </c:pivotFmt>
      <c:pivotFmt>
        <c:idx val="508"/>
        <c:dLbl>
          <c:idx val="0"/>
          <c:showLegendKey val="0"/>
          <c:showVal val="0"/>
          <c:showCatName val="0"/>
          <c:showSerName val="0"/>
          <c:showPercent val="0"/>
          <c:showBubbleSize val="0"/>
          <c:extLst>
            <c:ext xmlns:c15="http://schemas.microsoft.com/office/drawing/2012/chart" uri="{CE6537A1-D6FC-4f65-9D91-7224C49458BB}"/>
          </c:extLst>
        </c:dLbl>
      </c:pivotFmt>
      <c:pivotFmt>
        <c:idx val="509"/>
        <c:dLbl>
          <c:idx val="0"/>
          <c:showLegendKey val="0"/>
          <c:showVal val="0"/>
          <c:showCatName val="0"/>
          <c:showSerName val="0"/>
          <c:showPercent val="0"/>
          <c:showBubbleSize val="0"/>
          <c:extLst>
            <c:ext xmlns:c15="http://schemas.microsoft.com/office/drawing/2012/chart" uri="{CE6537A1-D6FC-4f65-9D91-7224C49458BB}"/>
          </c:extLst>
        </c:dLbl>
      </c:pivotFmt>
      <c:pivotFmt>
        <c:idx val="510"/>
        <c:dLbl>
          <c:idx val="0"/>
          <c:showLegendKey val="0"/>
          <c:showVal val="0"/>
          <c:showCatName val="0"/>
          <c:showSerName val="0"/>
          <c:showPercent val="0"/>
          <c:showBubbleSize val="0"/>
          <c:extLst>
            <c:ext xmlns:c15="http://schemas.microsoft.com/office/drawing/2012/chart" uri="{CE6537A1-D6FC-4f65-9D91-7224C49458BB}"/>
          </c:extLst>
        </c:dLbl>
      </c:pivotFmt>
      <c:pivotFmt>
        <c:idx val="511"/>
        <c:dLbl>
          <c:idx val="0"/>
          <c:showLegendKey val="0"/>
          <c:showVal val="0"/>
          <c:showCatName val="0"/>
          <c:showSerName val="0"/>
          <c:showPercent val="0"/>
          <c:showBubbleSize val="0"/>
          <c:extLst>
            <c:ext xmlns:c15="http://schemas.microsoft.com/office/drawing/2012/chart" uri="{CE6537A1-D6FC-4f65-9D91-7224C49458BB}"/>
          </c:extLst>
        </c:dLbl>
      </c:pivotFmt>
      <c:pivotFmt>
        <c:idx val="512"/>
        <c:dLbl>
          <c:idx val="0"/>
          <c:showLegendKey val="0"/>
          <c:showVal val="0"/>
          <c:showCatName val="0"/>
          <c:showSerName val="0"/>
          <c:showPercent val="0"/>
          <c:showBubbleSize val="0"/>
          <c:extLst>
            <c:ext xmlns:c15="http://schemas.microsoft.com/office/drawing/2012/chart" uri="{CE6537A1-D6FC-4f65-9D91-7224C49458BB}"/>
          </c:extLst>
        </c:dLbl>
      </c:pivotFmt>
      <c:pivotFmt>
        <c:idx val="513"/>
        <c:dLbl>
          <c:idx val="0"/>
          <c:showLegendKey val="0"/>
          <c:showVal val="0"/>
          <c:showCatName val="0"/>
          <c:showSerName val="0"/>
          <c:showPercent val="0"/>
          <c:showBubbleSize val="0"/>
          <c:extLst>
            <c:ext xmlns:c15="http://schemas.microsoft.com/office/drawing/2012/chart" uri="{CE6537A1-D6FC-4f65-9D91-7224C49458BB}"/>
          </c:extLst>
        </c:dLbl>
      </c:pivotFmt>
      <c:pivotFmt>
        <c:idx val="514"/>
        <c:dLbl>
          <c:idx val="0"/>
          <c:showLegendKey val="0"/>
          <c:showVal val="0"/>
          <c:showCatName val="0"/>
          <c:showSerName val="0"/>
          <c:showPercent val="0"/>
          <c:showBubbleSize val="0"/>
          <c:extLst>
            <c:ext xmlns:c15="http://schemas.microsoft.com/office/drawing/2012/chart" uri="{CE6537A1-D6FC-4f65-9D91-7224C49458BB}"/>
          </c:extLst>
        </c:dLbl>
      </c:pivotFmt>
      <c:pivotFmt>
        <c:idx val="515"/>
        <c:dLbl>
          <c:idx val="0"/>
          <c:showLegendKey val="0"/>
          <c:showVal val="0"/>
          <c:showCatName val="0"/>
          <c:showSerName val="0"/>
          <c:showPercent val="0"/>
          <c:showBubbleSize val="0"/>
          <c:extLst>
            <c:ext xmlns:c15="http://schemas.microsoft.com/office/drawing/2012/chart" uri="{CE6537A1-D6FC-4f65-9D91-7224C49458BB}"/>
          </c:extLst>
        </c:dLbl>
      </c:pivotFmt>
      <c:pivotFmt>
        <c:idx val="516"/>
        <c:dLbl>
          <c:idx val="0"/>
          <c:showLegendKey val="0"/>
          <c:showVal val="0"/>
          <c:showCatName val="0"/>
          <c:showSerName val="0"/>
          <c:showPercent val="0"/>
          <c:showBubbleSize val="0"/>
          <c:extLst>
            <c:ext xmlns:c15="http://schemas.microsoft.com/office/drawing/2012/chart" uri="{CE6537A1-D6FC-4f65-9D91-7224C49458BB}"/>
          </c:extLst>
        </c:dLbl>
      </c:pivotFmt>
      <c:pivotFmt>
        <c:idx val="517"/>
        <c:dLbl>
          <c:idx val="0"/>
          <c:showLegendKey val="0"/>
          <c:showVal val="0"/>
          <c:showCatName val="0"/>
          <c:showSerName val="0"/>
          <c:showPercent val="0"/>
          <c:showBubbleSize val="0"/>
          <c:extLst>
            <c:ext xmlns:c15="http://schemas.microsoft.com/office/drawing/2012/chart" uri="{CE6537A1-D6FC-4f65-9D91-7224C49458BB}"/>
          </c:extLst>
        </c:dLbl>
      </c:pivotFmt>
      <c:pivotFmt>
        <c:idx val="518"/>
        <c:dLbl>
          <c:idx val="0"/>
          <c:showLegendKey val="0"/>
          <c:showVal val="0"/>
          <c:showCatName val="0"/>
          <c:showSerName val="0"/>
          <c:showPercent val="0"/>
          <c:showBubbleSize val="0"/>
          <c:extLst>
            <c:ext xmlns:c15="http://schemas.microsoft.com/office/drawing/2012/chart" uri="{CE6537A1-D6FC-4f65-9D91-7224C49458BB}"/>
          </c:extLst>
        </c:dLbl>
      </c:pivotFmt>
      <c:pivotFmt>
        <c:idx val="519"/>
        <c:dLbl>
          <c:idx val="0"/>
          <c:showLegendKey val="0"/>
          <c:showVal val="0"/>
          <c:showCatName val="0"/>
          <c:showSerName val="0"/>
          <c:showPercent val="0"/>
          <c:showBubbleSize val="0"/>
          <c:extLst>
            <c:ext xmlns:c15="http://schemas.microsoft.com/office/drawing/2012/chart" uri="{CE6537A1-D6FC-4f65-9D91-7224C49458BB}"/>
          </c:extLst>
        </c:dLbl>
      </c:pivotFmt>
      <c:pivotFmt>
        <c:idx val="520"/>
        <c:dLbl>
          <c:idx val="0"/>
          <c:showLegendKey val="0"/>
          <c:showVal val="0"/>
          <c:showCatName val="0"/>
          <c:showSerName val="0"/>
          <c:showPercent val="0"/>
          <c:showBubbleSize val="0"/>
          <c:extLst>
            <c:ext xmlns:c15="http://schemas.microsoft.com/office/drawing/2012/chart" uri="{CE6537A1-D6FC-4f65-9D91-7224C49458BB}"/>
          </c:extLst>
        </c:dLbl>
      </c:pivotFmt>
      <c:pivotFmt>
        <c:idx val="521"/>
        <c:dLbl>
          <c:idx val="0"/>
          <c:showLegendKey val="0"/>
          <c:showVal val="0"/>
          <c:showCatName val="0"/>
          <c:showSerName val="0"/>
          <c:showPercent val="0"/>
          <c:showBubbleSize val="0"/>
          <c:extLst>
            <c:ext xmlns:c15="http://schemas.microsoft.com/office/drawing/2012/chart" uri="{CE6537A1-D6FC-4f65-9D91-7224C49458BB}"/>
          </c:extLst>
        </c:dLbl>
      </c:pivotFmt>
      <c:pivotFmt>
        <c:idx val="522"/>
        <c:dLbl>
          <c:idx val="0"/>
          <c:showLegendKey val="0"/>
          <c:showVal val="0"/>
          <c:showCatName val="0"/>
          <c:showSerName val="0"/>
          <c:showPercent val="0"/>
          <c:showBubbleSize val="0"/>
          <c:extLst>
            <c:ext xmlns:c15="http://schemas.microsoft.com/office/drawing/2012/chart" uri="{CE6537A1-D6FC-4f65-9D91-7224C49458BB}"/>
          </c:extLst>
        </c:dLbl>
      </c:pivotFmt>
      <c:pivotFmt>
        <c:idx val="523"/>
        <c:dLbl>
          <c:idx val="0"/>
          <c:showLegendKey val="0"/>
          <c:showVal val="0"/>
          <c:showCatName val="0"/>
          <c:showSerName val="0"/>
          <c:showPercent val="0"/>
          <c:showBubbleSize val="0"/>
          <c:extLst>
            <c:ext xmlns:c15="http://schemas.microsoft.com/office/drawing/2012/chart" uri="{CE6537A1-D6FC-4f65-9D91-7224C49458BB}"/>
          </c:extLst>
        </c:dLbl>
      </c:pivotFmt>
      <c:pivotFmt>
        <c:idx val="524"/>
        <c:dLbl>
          <c:idx val="0"/>
          <c:showLegendKey val="0"/>
          <c:showVal val="0"/>
          <c:showCatName val="0"/>
          <c:showSerName val="0"/>
          <c:showPercent val="0"/>
          <c:showBubbleSize val="0"/>
          <c:extLst>
            <c:ext xmlns:c15="http://schemas.microsoft.com/office/drawing/2012/chart" uri="{CE6537A1-D6FC-4f65-9D91-7224C49458BB}"/>
          </c:extLst>
        </c:dLbl>
      </c:pivotFmt>
      <c:pivotFmt>
        <c:idx val="525"/>
        <c:dLbl>
          <c:idx val="0"/>
          <c:showLegendKey val="0"/>
          <c:showVal val="0"/>
          <c:showCatName val="0"/>
          <c:showSerName val="0"/>
          <c:showPercent val="0"/>
          <c:showBubbleSize val="0"/>
          <c:extLst>
            <c:ext xmlns:c15="http://schemas.microsoft.com/office/drawing/2012/chart" uri="{CE6537A1-D6FC-4f65-9D91-7224C49458BB}"/>
          </c:extLst>
        </c:dLbl>
      </c:pivotFmt>
      <c:pivotFmt>
        <c:idx val="526"/>
        <c:dLbl>
          <c:idx val="0"/>
          <c:showLegendKey val="0"/>
          <c:showVal val="0"/>
          <c:showCatName val="0"/>
          <c:showSerName val="0"/>
          <c:showPercent val="0"/>
          <c:showBubbleSize val="0"/>
          <c:extLst>
            <c:ext xmlns:c15="http://schemas.microsoft.com/office/drawing/2012/chart" uri="{CE6537A1-D6FC-4f65-9D91-7224C49458BB}"/>
          </c:extLst>
        </c:dLbl>
      </c:pivotFmt>
      <c:pivotFmt>
        <c:idx val="527"/>
        <c:dLbl>
          <c:idx val="0"/>
          <c:showLegendKey val="0"/>
          <c:showVal val="0"/>
          <c:showCatName val="0"/>
          <c:showSerName val="0"/>
          <c:showPercent val="0"/>
          <c:showBubbleSize val="0"/>
          <c:extLst>
            <c:ext xmlns:c15="http://schemas.microsoft.com/office/drawing/2012/chart" uri="{CE6537A1-D6FC-4f65-9D91-7224C49458BB}"/>
          </c:extLst>
        </c:dLbl>
      </c:pivotFmt>
      <c:pivotFmt>
        <c:idx val="528"/>
        <c:dLbl>
          <c:idx val="0"/>
          <c:showLegendKey val="0"/>
          <c:showVal val="0"/>
          <c:showCatName val="0"/>
          <c:showSerName val="0"/>
          <c:showPercent val="0"/>
          <c:showBubbleSize val="0"/>
          <c:extLst>
            <c:ext xmlns:c15="http://schemas.microsoft.com/office/drawing/2012/chart" uri="{CE6537A1-D6FC-4f65-9D91-7224C49458BB}"/>
          </c:extLst>
        </c:dLbl>
      </c:pivotFmt>
      <c:pivotFmt>
        <c:idx val="529"/>
        <c:dLbl>
          <c:idx val="0"/>
          <c:showLegendKey val="0"/>
          <c:showVal val="0"/>
          <c:showCatName val="0"/>
          <c:showSerName val="0"/>
          <c:showPercent val="0"/>
          <c:showBubbleSize val="0"/>
          <c:extLst>
            <c:ext xmlns:c15="http://schemas.microsoft.com/office/drawing/2012/chart" uri="{CE6537A1-D6FC-4f65-9D91-7224C49458BB}"/>
          </c:extLst>
        </c:dLbl>
      </c:pivotFmt>
      <c:pivotFmt>
        <c:idx val="530"/>
        <c:dLbl>
          <c:idx val="0"/>
          <c:showLegendKey val="0"/>
          <c:showVal val="0"/>
          <c:showCatName val="0"/>
          <c:showSerName val="0"/>
          <c:showPercent val="0"/>
          <c:showBubbleSize val="0"/>
          <c:extLst>
            <c:ext xmlns:c15="http://schemas.microsoft.com/office/drawing/2012/chart" uri="{CE6537A1-D6FC-4f65-9D91-7224C49458BB}"/>
          </c:extLst>
        </c:dLbl>
      </c:pivotFmt>
      <c:pivotFmt>
        <c:idx val="531"/>
        <c:dLbl>
          <c:idx val="0"/>
          <c:showLegendKey val="0"/>
          <c:showVal val="0"/>
          <c:showCatName val="0"/>
          <c:showSerName val="0"/>
          <c:showPercent val="0"/>
          <c:showBubbleSize val="0"/>
          <c:extLst>
            <c:ext xmlns:c15="http://schemas.microsoft.com/office/drawing/2012/chart" uri="{CE6537A1-D6FC-4f65-9D91-7224C49458BB}"/>
          </c:extLst>
        </c:dLbl>
      </c:pivotFmt>
      <c:pivotFmt>
        <c:idx val="532"/>
        <c:dLbl>
          <c:idx val="0"/>
          <c:showLegendKey val="0"/>
          <c:showVal val="0"/>
          <c:showCatName val="0"/>
          <c:showSerName val="0"/>
          <c:showPercent val="0"/>
          <c:showBubbleSize val="0"/>
          <c:extLst>
            <c:ext xmlns:c15="http://schemas.microsoft.com/office/drawing/2012/chart" uri="{CE6537A1-D6FC-4f65-9D91-7224C49458BB}"/>
          </c:extLst>
        </c:dLbl>
      </c:pivotFmt>
      <c:pivotFmt>
        <c:idx val="533"/>
        <c:dLbl>
          <c:idx val="0"/>
          <c:showLegendKey val="0"/>
          <c:showVal val="0"/>
          <c:showCatName val="0"/>
          <c:showSerName val="0"/>
          <c:showPercent val="0"/>
          <c:showBubbleSize val="0"/>
          <c:extLst>
            <c:ext xmlns:c15="http://schemas.microsoft.com/office/drawing/2012/chart" uri="{CE6537A1-D6FC-4f65-9D91-7224C49458BB}"/>
          </c:extLst>
        </c:dLbl>
      </c:pivotFmt>
      <c:pivotFmt>
        <c:idx val="534"/>
        <c:dLbl>
          <c:idx val="0"/>
          <c:showLegendKey val="0"/>
          <c:showVal val="0"/>
          <c:showCatName val="0"/>
          <c:showSerName val="0"/>
          <c:showPercent val="0"/>
          <c:showBubbleSize val="0"/>
          <c:extLst>
            <c:ext xmlns:c15="http://schemas.microsoft.com/office/drawing/2012/chart" uri="{CE6537A1-D6FC-4f65-9D91-7224C49458BB}"/>
          </c:extLst>
        </c:dLbl>
      </c:pivotFmt>
      <c:pivotFmt>
        <c:idx val="535"/>
        <c:dLbl>
          <c:idx val="0"/>
          <c:showLegendKey val="0"/>
          <c:showVal val="0"/>
          <c:showCatName val="0"/>
          <c:showSerName val="0"/>
          <c:showPercent val="0"/>
          <c:showBubbleSize val="0"/>
          <c:extLst>
            <c:ext xmlns:c15="http://schemas.microsoft.com/office/drawing/2012/chart" uri="{CE6537A1-D6FC-4f65-9D91-7224C49458BB}"/>
          </c:extLst>
        </c:dLbl>
      </c:pivotFmt>
      <c:pivotFmt>
        <c:idx val="536"/>
        <c:dLbl>
          <c:idx val="0"/>
          <c:showLegendKey val="0"/>
          <c:showVal val="0"/>
          <c:showCatName val="0"/>
          <c:showSerName val="0"/>
          <c:showPercent val="0"/>
          <c:showBubbleSize val="0"/>
          <c:extLst>
            <c:ext xmlns:c15="http://schemas.microsoft.com/office/drawing/2012/chart" uri="{CE6537A1-D6FC-4f65-9D91-7224C49458BB}"/>
          </c:extLst>
        </c:dLbl>
      </c:pivotFmt>
      <c:pivotFmt>
        <c:idx val="537"/>
        <c:dLbl>
          <c:idx val="0"/>
          <c:showLegendKey val="0"/>
          <c:showVal val="0"/>
          <c:showCatName val="0"/>
          <c:showSerName val="0"/>
          <c:showPercent val="0"/>
          <c:showBubbleSize val="0"/>
          <c:extLst>
            <c:ext xmlns:c15="http://schemas.microsoft.com/office/drawing/2012/chart" uri="{CE6537A1-D6FC-4f65-9D91-7224C49458BB}"/>
          </c:extLst>
        </c:dLbl>
      </c:pivotFmt>
      <c:pivotFmt>
        <c:idx val="538"/>
        <c:dLbl>
          <c:idx val="0"/>
          <c:showLegendKey val="0"/>
          <c:showVal val="0"/>
          <c:showCatName val="0"/>
          <c:showSerName val="0"/>
          <c:showPercent val="0"/>
          <c:showBubbleSize val="0"/>
          <c:extLst>
            <c:ext xmlns:c15="http://schemas.microsoft.com/office/drawing/2012/chart" uri="{CE6537A1-D6FC-4f65-9D91-7224C49458BB}"/>
          </c:extLst>
        </c:dLbl>
      </c:pivotFmt>
      <c:pivotFmt>
        <c:idx val="539"/>
        <c:dLbl>
          <c:idx val="0"/>
          <c:showLegendKey val="0"/>
          <c:showVal val="0"/>
          <c:showCatName val="0"/>
          <c:showSerName val="0"/>
          <c:showPercent val="0"/>
          <c:showBubbleSize val="0"/>
          <c:extLst>
            <c:ext xmlns:c15="http://schemas.microsoft.com/office/drawing/2012/chart" uri="{CE6537A1-D6FC-4f65-9D91-7224C49458BB}"/>
          </c:extLst>
        </c:dLbl>
      </c:pivotFmt>
      <c:pivotFmt>
        <c:idx val="540"/>
        <c:dLbl>
          <c:idx val="0"/>
          <c:showLegendKey val="0"/>
          <c:showVal val="0"/>
          <c:showCatName val="0"/>
          <c:showSerName val="0"/>
          <c:showPercent val="0"/>
          <c:showBubbleSize val="0"/>
          <c:extLst>
            <c:ext xmlns:c15="http://schemas.microsoft.com/office/drawing/2012/chart" uri="{CE6537A1-D6FC-4f65-9D91-7224C49458BB}"/>
          </c:extLst>
        </c:dLbl>
      </c:pivotFmt>
      <c:pivotFmt>
        <c:idx val="541"/>
        <c:dLbl>
          <c:idx val="0"/>
          <c:showLegendKey val="0"/>
          <c:showVal val="0"/>
          <c:showCatName val="0"/>
          <c:showSerName val="0"/>
          <c:showPercent val="0"/>
          <c:showBubbleSize val="0"/>
          <c:extLst>
            <c:ext xmlns:c15="http://schemas.microsoft.com/office/drawing/2012/chart" uri="{CE6537A1-D6FC-4f65-9D91-7224C49458BB}"/>
          </c:extLst>
        </c:dLbl>
      </c:pivotFmt>
      <c:pivotFmt>
        <c:idx val="542"/>
        <c:dLbl>
          <c:idx val="0"/>
          <c:showLegendKey val="0"/>
          <c:showVal val="0"/>
          <c:showCatName val="0"/>
          <c:showSerName val="0"/>
          <c:showPercent val="0"/>
          <c:showBubbleSize val="0"/>
          <c:extLst>
            <c:ext xmlns:c15="http://schemas.microsoft.com/office/drawing/2012/chart" uri="{CE6537A1-D6FC-4f65-9D91-7224C49458BB}"/>
          </c:extLst>
        </c:dLbl>
      </c:pivotFmt>
      <c:pivotFmt>
        <c:idx val="543"/>
        <c:dLbl>
          <c:idx val="0"/>
          <c:showLegendKey val="0"/>
          <c:showVal val="0"/>
          <c:showCatName val="0"/>
          <c:showSerName val="0"/>
          <c:showPercent val="0"/>
          <c:showBubbleSize val="0"/>
          <c:extLst>
            <c:ext xmlns:c15="http://schemas.microsoft.com/office/drawing/2012/chart" uri="{CE6537A1-D6FC-4f65-9D91-7224C49458BB}"/>
          </c:extLst>
        </c:dLbl>
      </c:pivotFmt>
      <c:pivotFmt>
        <c:idx val="544"/>
        <c:dLbl>
          <c:idx val="0"/>
          <c:showLegendKey val="0"/>
          <c:showVal val="0"/>
          <c:showCatName val="0"/>
          <c:showSerName val="0"/>
          <c:showPercent val="0"/>
          <c:showBubbleSize val="0"/>
          <c:extLst>
            <c:ext xmlns:c15="http://schemas.microsoft.com/office/drawing/2012/chart" uri="{CE6537A1-D6FC-4f65-9D91-7224C49458BB}"/>
          </c:extLst>
        </c:dLbl>
      </c:pivotFmt>
      <c:pivotFmt>
        <c:idx val="545"/>
        <c:dLbl>
          <c:idx val="0"/>
          <c:showLegendKey val="0"/>
          <c:showVal val="0"/>
          <c:showCatName val="0"/>
          <c:showSerName val="0"/>
          <c:showPercent val="0"/>
          <c:showBubbleSize val="0"/>
          <c:extLst>
            <c:ext xmlns:c15="http://schemas.microsoft.com/office/drawing/2012/chart" uri="{CE6537A1-D6FC-4f65-9D91-7224C49458BB}"/>
          </c:extLst>
        </c:dLbl>
      </c:pivotFmt>
      <c:pivotFmt>
        <c:idx val="546"/>
        <c:dLbl>
          <c:idx val="0"/>
          <c:showLegendKey val="0"/>
          <c:showVal val="0"/>
          <c:showCatName val="0"/>
          <c:showSerName val="0"/>
          <c:showPercent val="0"/>
          <c:showBubbleSize val="0"/>
          <c:extLst>
            <c:ext xmlns:c15="http://schemas.microsoft.com/office/drawing/2012/chart" uri="{CE6537A1-D6FC-4f65-9D91-7224C49458BB}"/>
          </c:extLst>
        </c:dLbl>
      </c:pivotFmt>
      <c:pivotFmt>
        <c:idx val="547"/>
        <c:dLbl>
          <c:idx val="0"/>
          <c:showLegendKey val="0"/>
          <c:showVal val="0"/>
          <c:showCatName val="0"/>
          <c:showSerName val="0"/>
          <c:showPercent val="0"/>
          <c:showBubbleSize val="0"/>
          <c:extLst>
            <c:ext xmlns:c15="http://schemas.microsoft.com/office/drawing/2012/chart" uri="{CE6537A1-D6FC-4f65-9D91-7224C49458BB}"/>
          </c:extLst>
        </c:dLbl>
      </c:pivotFmt>
      <c:pivotFmt>
        <c:idx val="548"/>
        <c:dLbl>
          <c:idx val="0"/>
          <c:showLegendKey val="0"/>
          <c:showVal val="0"/>
          <c:showCatName val="0"/>
          <c:showSerName val="0"/>
          <c:showPercent val="0"/>
          <c:showBubbleSize val="0"/>
          <c:extLst>
            <c:ext xmlns:c15="http://schemas.microsoft.com/office/drawing/2012/chart" uri="{CE6537A1-D6FC-4f65-9D91-7224C49458BB}"/>
          </c:extLst>
        </c:dLbl>
      </c:pivotFmt>
      <c:pivotFmt>
        <c:idx val="549"/>
        <c:dLbl>
          <c:idx val="0"/>
          <c:showLegendKey val="0"/>
          <c:showVal val="0"/>
          <c:showCatName val="0"/>
          <c:showSerName val="0"/>
          <c:showPercent val="0"/>
          <c:showBubbleSize val="0"/>
          <c:extLst>
            <c:ext xmlns:c15="http://schemas.microsoft.com/office/drawing/2012/chart" uri="{CE6537A1-D6FC-4f65-9D91-7224C49458BB}"/>
          </c:extLst>
        </c:dLbl>
      </c:pivotFmt>
      <c:pivotFmt>
        <c:idx val="550"/>
        <c:dLbl>
          <c:idx val="0"/>
          <c:showLegendKey val="0"/>
          <c:showVal val="0"/>
          <c:showCatName val="0"/>
          <c:showSerName val="0"/>
          <c:showPercent val="0"/>
          <c:showBubbleSize val="0"/>
          <c:extLst>
            <c:ext xmlns:c15="http://schemas.microsoft.com/office/drawing/2012/chart" uri="{CE6537A1-D6FC-4f65-9D91-7224C49458BB}"/>
          </c:extLst>
        </c:dLbl>
      </c:pivotFmt>
      <c:pivotFmt>
        <c:idx val="551"/>
        <c:dLbl>
          <c:idx val="0"/>
          <c:showLegendKey val="0"/>
          <c:showVal val="0"/>
          <c:showCatName val="0"/>
          <c:showSerName val="0"/>
          <c:showPercent val="0"/>
          <c:showBubbleSize val="0"/>
          <c:extLst>
            <c:ext xmlns:c15="http://schemas.microsoft.com/office/drawing/2012/chart" uri="{CE6537A1-D6FC-4f65-9D91-7224C49458BB}"/>
          </c:extLst>
        </c:dLbl>
      </c:pivotFmt>
      <c:pivotFmt>
        <c:idx val="552"/>
        <c:dLbl>
          <c:idx val="0"/>
          <c:showLegendKey val="0"/>
          <c:showVal val="0"/>
          <c:showCatName val="0"/>
          <c:showSerName val="0"/>
          <c:showPercent val="0"/>
          <c:showBubbleSize val="0"/>
          <c:extLst>
            <c:ext xmlns:c15="http://schemas.microsoft.com/office/drawing/2012/chart" uri="{CE6537A1-D6FC-4f65-9D91-7224C49458BB}"/>
          </c:extLst>
        </c:dLbl>
      </c:pivotFmt>
      <c:pivotFmt>
        <c:idx val="553"/>
        <c:dLbl>
          <c:idx val="0"/>
          <c:showLegendKey val="0"/>
          <c:showVal val="0"/>
          <c:showCatName val="0"/>
          <c:showSerName val="0"/>
          <c:showPercent val="0"/>
          <c:showBubbleSize val="0"/>
          <c:extLst>
            <c:ext xmlns:c15="http://schemas.microsoft.com/office/drawing/2012/chart" uri="{CE6537A1-D6FC-4f65-9D91-7224C49458BB}"/>
          </c:extLst>
        </c:dLbl>
      </c:pivotFmt>
      <c:pivotFmt>
        <c:idx val="554"/>
        <c:dLbl>
          <c:idx val="0"/>
          <c:showLegendKey val="0"/>
          <c:showVal val="0"/>
          <c:showCatName val="0"/>
          <c:showSerName val="0"/>
          <c:showPercent val="0"/>
          <c:showBubbleSize val="0"/>
          <c:extLst>
            <c:ext xmlns:c15="http://schemas.microsoft.com/office/drawing/2012/chart" uri="{CE6537A1-D6FC-4f65-9D91-7224C49458BB}"/>
          </c:extLst>
        </c:dLbl>
      </c:pivotFmt>
      <c:pivotFmt>
        <c:idx val="555"/>
        <c:dLbl>
          <c:idx val="0"/>
          <c:showLegendKey val="0"/>
          <c:showVal val="0"/>
          <c:showCatName val="0"/>
          <c:showSerName val="0"/>
          <c:showPercent val="0"/>
          <c:showBubbleSize val="0"/>
          <c:extLst>
            <c:ext xmlns:c15="http://schemas.microsoft.com/office/drawing/2012/chart" uri="{CE6537A1-D6FC-4f65-9D91-7224C49458BB}"/>
          </c:extLst>
        </c:dLbl>
      </c:pivotFmt>
      <c:pivotFmt>
        <c:idx val="556"/>
        <c:dLbl>
          <c:idx val="0"/>
          <c:showLegendKey val="0"/>
          <c:showVal val="0"/>
          <c:showCatName val="0"/>
          <c:showSerName val="0"/>
          <c:showPercent val="0"/>
          <c:showBubbleSize val="0"/>
          <c:extLst>
            <c:ext xmlns:c15="http://schemas.microsoft.com/office/drawing/2012/chart" uri="{CE6537A1-D6FC-4f65-9D91-7224C49458BB}"/>
          </c:extLst>
        </c:dLbl>
      </c:pivotFmt>
      <c:pivotFmt>
        <c:idx val="557"/>
        <c:dLbl>
          <c:idx val="0"/>
          <c:showLegendKey val="0"/>
          <c:showVal val="0"/>
          <c:showCatName val="0"/>
          <c:showSerName val="0"/>
          <c:showPercent val="0"/>
          <c:showBubbleSize val="0"/>
          <c:extLst>
            <c:ext xmlns:c15="http://schemas.microsoft.com/office/drawing/2012/chart" uri="{CE6537A1-D6FC-4f65-9D91-7224C49458BB}"/>
          </c:extLst>
        </c:dLbl>
      </c:pivotFmt>
      <c:pivotFmt>
        <c:idx val="558"/>
        <c:dLbl>
          <c:idx val="0"/>
          <c:showLegendKey val="0"/>
          <c:showVal val="0"/>
          <c:showCatName val="0"/>
          <c:showSerName val="0"/>
          <c:showPercent val="0"/>
          <c:showBubbleSize val="0"/>
          <c:extLst>
            <c:ext xmlns:c15="http://schemas.microsoft.com/office/drawing/2012/chart" uri="{CE6537A1-D6FC-4f65-9D91-7224C49458BB}"/>
          </c:extLst>
        </c:dLbl>
      </c:pivotFmt>
      <c:pivotFmt>
        <c:idx val="559"/>
        <c:dLbl>
          <c:idx val="0"/>
          <c:showLegendKey val="0"/>
          <c:showVal val="0"/>
          <c:showCatName val="0"/>
          <c:showSerName val="0"/>
          <c:showPercent val="0"/>
          <c:showBubbleSize val="0"/>
          <c:extLst>
            <c:ext xmlns:c15="http://schemas.microsoft.com/office/drawing/2012/chart" uri="{CE6537A1-D6FC-4f65-9D91-7224C49458BB}"/>
          </c:extLst>
        </c:dLbl>
      </c:pivotFmt>
      <c:pivotFmt>
        <c:idx val="560"/>
        <c:dLbl>
          <c:idx val="0"/>
          <c:showLegendKey val="0"/>
          <c:showVal val="0"/>
          <c:showCatName val="0"/>
          <c:showSerName val="0"/>
          <c:showPercent val="0"/>
          <c:showBubbleSize val="0"/>
          <c:extLst>
            <c:ext xmlns:c15="http://schemas.microsoft.com/office/drawing/2012/chart" uri="{CE6537A1-D6FC-4f65-9D91-7224C49458BB}"/>
          </c:extLst>
        </c:dLbl>
      </c:pivotFmt>
      <c:pivotFmt>
        <c:idx val="561"/>
        <c:dLbl>
          <c:idx val="0"/>
          <c:showLegendKey val="0"/>
          <c:showVal val="0"/>
          <c:showCatName val="0"/>
          <c:showSerName val="0"/>
          <c:showPercent val="0"/>
          <c:showBubbleSize val="0"/>
          <c:extLst>
            <c:ext xmlns:c15="http://schemas.microsoft.com/office/drawing/2012/chart" uri="{CE6537A1-D6FC-4f65-9D91-7224C49458BB}"/>
          </c:extLst>
        </c:dLbl>
      </c:pivotFmt>
      <c:pivotFmt>
        <c:idx val="562"/>
        <c:dLbl>
          <c:idx val="0"/>
          <c:showLegendKey val="0"/>
          <c:showVal val="0"/>
          <c:showCatName val="0"/>
          <c:showSerName val="0"/>
          <c:showPercent val="0"/>
          <c:showBubbleSize val="0"/>
          <c:extLst>
            <c:ext xmlns:c15="http://schemas.microsoft.com/office/drawing/2012/chart" uri="{CE6537A1-D6FC-4f65-9D91-7224C49458BB}"/>
          </c:extLst>
        </c:dLbl>
      </c:pivotFmt>
      <c:pivotFmt>
        <c:idx val="563"/>
        <c:dLbl>
          <c:idx val="0"/>
          <c:showLegendKey val="0"/>
          <c:showVal val="0"/>
          <c:showCatName val="0"/>
          <c:showSerName val="0"/>
          <c:showPercent val="0"/>
          <c:showBubbleSize val="0"/>
          <c:extLst>
            <c:ext xmlns:c15="http://schemas.microsoft.com/office/drawing/2012/chart" uri="{CE6537A1-D6FC-4f65-9D91-7224C49458BB}"/>
          </c:extLst>
        </c:dLbl>
      </c:pivotFmt>
      <c:pivotFmt>
        <c:idx val="564"/>
        <c:dLbl>
          <c:idx val="0"/>
          <c:showLegendKey val="0"/>
          <c:showVal val="0"/>
          <c:showCatName val="0"/>
          <c:showSerName val="0"/>
          <c:showPercent val="0"/>
          <c:showBubbleSize val="0"/>
          <c:extLst>
            <c:ext xmlns:c15="http://schemas.microsoft.com/office/drawing/2012/chart" uri="{CE6537A1-D6FC-4f65-9D91-7224C49458BB}"/>
          </c:extLst>
        </c:dLbl>
      </c:pivotFmt>
      <c:pivotFmt>
        <c:idx val="565"/>
        <c:dLbl>
          <c:idx val="0"/>
          <c:showLegendKey val="0"/>
          <c:showVal val="0"/>
          <c:showCatName val="0"/>
          <c:showSerName val="0"/>
          <c:showPercent val="0"/>
          <c:showBubbleSize val="0"/>
          <c:extLst>
            <c:ext xmlns:c15="http://schemas.microsoft.com/office/drawing/2012/chart" uri="{CE6537A1-D6FC-4f65-9D91-7224C49458BB}"/>
          </c:extLst>
        </c:dLbl>
      </c:pivotFmt>
      <c:pivotFmt>
        <c:idx val="566"/>
        <c:dLbl>
          <c:idx val="0"/>
          <c:showLegendKey val="0"/>
          <c:showVal val="0"/>
          <c:showCatName val="0"/>
          <c:showSerName val="0"/>
          <c:showPercent val="0"/>
          <c:showBubbleSize val="0"/>
          <c:extLst>
            <c:ext xmlns:c15="http://schemas.microsoft.com/office/drawing/2012/chart" uri="{CE6537A1-D6FC-4f65-9D91-7224C49458BB}"/>
          </c:extLst>
        </c:dLbl>
      </c:pivotFmt>
      <c:pivotFmt>
        <c:idx val="567"/>
        <c:dLbl>
          <c:idx val="0"/>
          <c:showLegendKey val="0"/>
          <c:showVal val="0"/>
          <c:showCatName val="0"/>
          <c:showSerName val="0"/>
          <c:showPercent val="0"/>
          <c:showBubbleSize val="0"/>
          <c:extLst>
            <c:ext xmlns:c15="http://schemas.microsoft.com/office/drawing/2012/chart" uri="{CE6537A1-D6FC-4f65-9D91-7224C49458BB}"/>
          </c:extLst>
        </c:dLbl>
      </c:pivotFmt>
      <c:pivotFmt>
        <c:idx val="568"/>
        <c:dLbl>
          <c:idx val="0"/>
          <c:showLegendKey val="0"/>
          <c:showVal val="0"/>
          <c:showCatName val="0"/>
          <c:showSerName val="0"/>
          <c:showPercent val="0"/>
          <c:showBubbleSize val="0"/>
          <c:extLst>
            <c:ext xmlns:c15="http://schemas.microsoft.com/office/drawing/2012/chart" uri="{CE6537A1-D6FC-4f65-9D91-7224C49458BB}"/>
          </c:extLst>
        </c:dLbl>
      </c:pivotFmt>
      <c:pivotFmt>
        <c:idx val="569"/>
        <c:dLbl>
          <c:idx val="0"/>
          <c:showLegendKey val="0"/>
          <c:showVal val="0"/>
          <c:showCatName val="0"/>
          <c:showSerName val="0"/>
          <c:showPercent val="0"/>
          <c:showBubbleSize val="0"/>
          <c:extLst>
            <c:ext xmlns:c15="http://schemas.microsoft.com/office/drawing/2012/chart" uri="{CE6537A1-D6FC-4f65-9D91-7224C49458BB}"/>
          </c:extLst>
        </c:dLbl>
      </c:pivotFmt>
      <c:pivotFmt>
        <c:idx val="570"/>
        <c:dLbl>
          <c:idx val="0"/>
          <c:showLegendKey val="0"/>
          <c:showVal val="0"/>
          <c:showCatName val="0"/>
          <c:showSerName val="0"/>
          <c:showPercent val="0"/>
          <c:showBubbleSize val="0"/>
          <c:extLst>
            <c:ext xmlns:c15="http://schemas.microsoft.com/office/drawing/2012/chart" uri="{CE6537A1-D6FC-4f65-9D91-7224C49458BB}"/>
          </c:extLst>
        </c:dLbl>
      </c:pivotFmt>
      <c:pivotFmt>
        <c:idx val="571"/>
        <c:dLbl>
          <c:idx val="0"/>
          <c:showLegendKey val="0"/>
          <c:showVal val="0"/>
          <c:showCatName val="0"/>
          <c:showSerName val="0"/>
          <c:showPercent val="0"/>
          <c:showBubbleSize val="0"/>
          <c:extLst>
            <c:ext xmlns:c15="http://schemas.microsoft.com/office/drawing/2012/chart" uri="{CE6537A1-D6FC-4f65-9D91-7224C49458BB}"/>
          </c:extLst>
        </c:dLbl>
      </c:pivotFmt>
      <c:pivotFmt>
        <c:idx val="572"/>
        <c:dLbl>
          <c:idx val="0"/>
          <c:showLegendKey val="0"/>
          <c:showVal val="0"/>
          <c:showCatName val="0"/>
          <c:showSerName val="0"/>
          <c:showPercent val="0"/>
          <c:showBubbleSize val="0"/>
          <c:extLst>
            <c:ext xmlns:c15="http://schemas.microsoft.com/office/drawing/2012/chart" uri="{CE6537A1-D6FC-4f65-9D91-7224C49458BB}"/>
          </c:extLst>
        </c:dLbl>
      </c:pivotFmt>
      <c:pivotFmt>
        <c:idx val="573"/>
        <c:dLbl>
          <c:idx val="0"/>
          <c:showLegendKey val="0"/>
          <c:showVal val="0"/>
          <c:showCatName val="0"/>
          <c:showSerName val="0"/>
          <c:showPercent val="0"/>
          <c:showBubbleSize val="0"/>
          <c:extLst>
            <c:ext xmlns:c15="http://schemas.microsoft.com/office/drawing/2012/chart" uri="{CE6537A1-D6FC-4f65-9D91-7224C49458BB}"/>
          </c:extLst>
        </c:dLbl>
      </c:pivotFmt>
      <c:pivotFmt>
        <c:idx val="574"/>
        <c:dLbl>
          <c:idx val="0"/>
          <c:showLegendKey val="0"/>
          <c:showVal val="0"/>
          <c:showCatName val="0"/>
          <c:showSerName val="0"/>
          <c:showPercent val="0"/>
          <c:showBubbleSize val="0"/>
          <c:extLst>
            <c:ext xmlns:c15="http://schemas.microsoft.com/office/drawing/2012/chart" uri="{CE6537A1-D6FC-4f65-9D91-7224C49458BB}"/>
          </c:extLst>
        </c:dLbl>
      </c:pivotFmt>
      <c:pivotFmt>
        <c:idx val="575"/>
        <c:dLbl>
          <c:idx val="0"/>
          <c:showLegendKey val="0"/>
          <c:showVal val="0"/>
          <c:showCatName val="0"/>
          <c:showSerName val="0"/>
          <c:showPercent val="0"/>
          <c:showBubbleSize val="0"/>
          <c:extLst>
            <c:ext xmlns:c15="http://schemas.microsoft.com/office/drawing/2012/chart" uri="{CE6537A1-D6FC-4f65-9D91-7224C49458BB}"/>
          </c:extLst>
        </c:dLbl>
      </c:pivotFmt>
      <c:pivotFmt>
        <c:idx val="576"/>
        <c:dLbl>
          <c:idx val="0"/>
          <c:showLegendKey val="0"/>
          <c:showVal val="0"/>
          <c:showCatName val="0"/>
          <c:showSerName val="0"/>
          <c:showPercent val="0"/>
          <c:showBubbleSize val="0"/>
          <c:extLst>
            <c:ext xmlns:c15="http://schemas.microsoft.com/office/drawing/2012/chart" uri="{CE6537A1-D6FC-4f65-9D91-7224C49458BB}"/>
          </c:extLst>
        </c:dLbl>
      </c:pivotFmt>
      <c:pivotFmt>
        <c:idx val="577"/>
        <c:dLbl>
          <c:idx val="0"/>
          <c:showLegendKey val="0"/>
          <c:showVal val="0"/>
          <c:showCatName val="0"/>
          <c:showSerName val="0"/>
          <c:showPercent val="0"/>
          <c:showBubbleSize val="0"/>
          <c:extLst>
            <c:ext xmlns:c15="http://schemas.microsoft.com/office/drawing/2012/chart" uri="{CE6537A1-D6FC-4f65-9D91-7224C49458BB}"/>
          </c:extLst>
        </c:dLbl>
      </c:pivotFmt>
      <c:pivotFmt>
        <c:idx val="578"/>
        <c:dLbl>
          <c:idx val="0"/>
          <c:showLegendKey val="0"/>
          <c:showVal val="0"/>
          <c:showCatName val="0"/>
          <c:showSerName val="0"/>
          <c:showPercent val="0"/>
          <c:showBubbleSize val="0"/>
          <c:extLst>
            <c:ext xmlns:c15="http://schemas.microsoft.com/office/drawing/2012/chart" uri="{CE6537A1-D6FC-4f65-9D91-7224C49458BB}"/>
          </c:extLst>
        </c:dLbl>
      </c:pivotFmt>
      <c:pivotFmt>
        <c:idx val="579"/>
        <c:dLbl>
          <c:idx val="0"/>
          <c:showLegendKey val="0"/>
          <c:showVal val="0"/>
          <c:showCatName val="0"/>
          <c:showSerName val="0"/>
          <c:showPercent val="0"/>
          <c:showBubbleSize val="0"/>
          <c:extLst>
            <c:ext xmlns:c15="http://schemas.microsoft.com/office/drawing/2012/chart" uri="{CE6537A1-D6FC-4f65-9D91-7224C49458BB}"/>
          </c:extLst>
        </c:dLbl>
      </c:pivotFmt>
      <c:pivotFmt>
        <c:idx val="580"/>
        <c:dLbl>
          <c:idx val="0"/>
          <c:showLegendKey val="0"/>
          <c:showVal val="0"/>
          <c:showCatName val="0"/>
          <c:showSerName val="0"/>
          <c:showPercent val="0"/>
          <c:showBubbleSize val="0"/>
          <c:extLst>
            <c:ext xmlns:c15="http://schemas.microsoft.com/office/drawing/2012/chart" uri="{CE6537A1-D6FC-4f65-9D91-7224C49458BB}"/>
          </c:extLst>
        </c:dLbl>
      </c:pivotFmt>
      <c:pivotFmt>
        <c:idx val="581"/>
        <c:dLbl>
          <c:idx val="0"/>
          <c:showLegendKey val="0"/>
          <c:showVal val="0"/>
          <c:showCatName val="0"/>
          <c:showSerName val="0"/>
          <c:showPercent val="0"/>
          <c:showBubbleSize val="0"/>
          <c:extLst>
            <c:ext xmlns:c15="http://schemas.microsoft.com/office/drawing/2012/chart" uri="{CE6537A1-D6FC-4f65-9D91-7224C49458BB}"/>
          </c:extLst>
        </c:dLbl>
      </c:pivotFmt>
      <c:pivotFmt>
        <c:idx val="582"/>
        <c:dLbl>
          <c:idx val="0"/>
          <c:showLegendKey val="0"/>
          <c:showVal val="0"/>
          <c:showCatName val="0"/>
          <c:showSerName val="0"/>
          <c:showPercent val="0"/>
          <c:showBubbleSize val="0"/>
          <c:extLst>
            <c:ext xmlns:c15="http://schemas.microsoft.com/office/drawing/2012/chart" uri="{CE6537A1-D6FC-4f65-9D91-7224C49458BB}"/>
          </c:extLst>
        </c:dLbl>
      </c:pivotFmt>
      <c:pivotFmt>
        <c:idx val="583"/>
        <c:dLbl>
          <c:idx val="0"/>
          <c:showLegendKey val="0"/>
          <c:showVal val="0"/>
          <c:showCatName val="0"/>
          <c:showSerName val="0"/>
          <c:showPercent val="0"/>
          <c:showBubbleSize val="0"/>
          <c:extLst>
            <c:ext xmlns:c15="http://schemas.microsoft.com/office/drawing/2012/chart" uri="{CE6537A1-D6FC-4f65-9D91-7224C49458BB}"/>
          </c:extLst>
        </c:dLbl>
      </c:pivotFmt>
      <c:pivotFmt>
        <c:idx val="584"/>
        <c:dLbl>
          <c:idx val="0"/>
          <c:showLegendKey val="0"/>
          <c:showVal val="0"/>
          <c:showCatName val="0"/>
          <c:showSerName val="0"/>
          <c:showPercent val="0"/>
          <c:showBubbleSize val="0"/>
          <c:extLst>
            <c:ext xmlns:c15="http://schemas.microsoft.com/office/drawing/2012/chart" uri="{CE6537A1-D6FC-4f65-9D91-7224C49458BB}"/>
          </c:extLst>
        </c:dLbl>
      </c:pivotFmt>
      <c:pivotFmt>
        <c:idx val="585"/>
        <c:dLbl>
          <c:idx val="0"/>
          <c:showLegendKey val="0"/>
          <c:showVal val="0"/>
          <c:showCatName val="0"/>
          <c:showSerName val="0"/>
          <c:showPercent val="0"/>
          <c:showBubbleSize val="0"/>
          <c:extLst>
            <c:ext xmlns:c15="http://schemas.microsoft.com/office/drawing/2012/chart" uri="{CE6537A1-D6FC-4f65-9D91-7224C49458BB}"/>
          </c:extLst>
        </c:dLbl>
      </c:pivotFmt>
      <c:pivotFmt>
        <c:idx val="586"/>
        <c:dLbl>
          <c:idx val="0"/>
          <c:showLegendKey val="0"/>
          <c:showVal val="0"/>
          <c:showCatName val="0"/>
          <c:showSerName val="0"/>
          <c:showPercent val="0"/>
          <c:showBubbleSize val="0"/>
          <c:extLst>
            <c:ext xmlns:c15="http://schemas.microsoft.com/office/drawing/2012/chart" uri="{CE6537A1-D6FC-4f65-9D91-7224C49458BB}"/>
          </c:extLst>
        </c:dLbl>
      </c:pivotFmt>
      <c:pivotFmt>
        <c:idx val="587"/>
        <c:dLbl>
          <c:idx val="0"/>
          <c:showLegendKey val="0"/>
          <c:showVal val="0"/>
          <c:showCatName val="0"/>
          <c:showSerName val="0"/>
          <c:showPercent val="0"/>
          <c:showBubbleSize val="0"/>
          <c:extLst>
            <c:ext xmlns:c15="http://schemas.microsoft.com/office/drawing/2012/chart" uri="{CE6537A1-D6FC-4f65-9D91-7224C49458BB}"/>
          </c:extLst>
        </c:dLbl>
      </c:pivotFmt>
      <c:pivotFmt>
        <c:idx val="588"/>
        <c:dLbl>
          <c:idx val="0"/>
          <c:showLegendKey val="0"/>
          <c:showVal val="0"/>
          <c:showCatName val="0"/>
          <c:showSerName val="0"/>
          <c:showPercent val="0"/>
          <c:showBubbleSize val="0"/>
          <c:extLst>
            <c:ext xmlns:c15="http://schemas.microsoft.com/office/drawing/2012/chart" uri="{CE6537A1-D6FC-4f65-9D91-7224C49458BB}"/>
          </c:extLst>
        </c:dLbl>
      </c:pivotFmt>
      <c:pivotFmt>
        <c:idx val="589"/>
        <c:dLbl>
          <c:idx val="0"/>
          <c:showLegendKey val="0"/>
          <c:showVal val="0"/>
          <c:showCatName val="0"/>
          <c:showSerName val="0"/>
          <c:showPercent val="0"/>
          <c:showBubbleSize val="0"/>
          <c:extLst>
            <c:ext xmlns:c15="http://schemas.microsoft.com/office/drawing/2012/chart" uri="{CE6537A1-D6FC-4f65-9D91-7224C49458BB}"/>
          </c:extLst>
        </c:dLbl>
      </c:pivotFmt>
      <c:pivotFmt>
        <c:idx val="590"/>
        <c:dLbl>
          <c:idx val="0"/>
          <c:showLegendKey val="0"/>
          <c:showVal val="0"/>
          <c:showCatName val="0"/>
          <c:showSerName val="0"/>
          <c:showPercent val="0"/>
          <c:showBubbleSize val="0"/>
          <c:extLst>
            <c:ext xmlns:c15="http://schemas.microsoft.com/office/drawing/2012/chart" uri="{CE6537A1-D6FC-4f65-9D91-7224C49458BB}"/>
          </c:extLst>
        </c:dLbl>
      </c:pivotFmt>
      <c:pivotFmt>
        <c:idx val="591"/>
        <c:dLbl>
          <c:idx val="0"/>
          <c:showLegendKey val="0"/>
          <c:showVal val="0"/>
          <c:showCatName val="0"/>
          <c:showSerName val="0"/>
          <c:showPercent val="0"/>
          <c:showBubbleSize val="0"/>
          <c:extLst>
            <c:ext xmlns:c15="http://schemas.microsoft.com/office/drawing/2012/chart" uri="{CE6537A1-D6FC-4f65-9D91-7224C49458BB}"/>
          </c:extLst>
        </c:dLbl>
      </c:pivotFmt>
      <c:pivotFmt>
        <c:idx val="592"/>
        <c:dLbl>
          <c:idx val="0"/>
          <c:showLegendKey val="0"/>
          <c:showVal val="0"/>
          <c:showCatName val="0"/>
          <c:showSerName val="0"/>
          <c:showPercent val="0"/>
          <c:showBubbleSize val="0"/>
          <c:extLst>
            <c:ext xmlns:c15="http://schemas.microsoft.com/office/drawing/2012/chart" uri="{CE6537A1-D6FC-4f65-9D91-7224C49458BB}"/>
          </c:extLst>
        </c:dLbl>
      </c:pivotFmt>
      <c:pivotFmt>
        <c:idx val="593"/>
        <c:dLbl>
          <c:idx val="0"/>
          <c:showLegendKey val="0"/>
          <c:showVal val="0"/>
          <c:showCatName val="0"/>
          <c:showSerName val="0"/>
          <c:showPercent val="0"/>
          <c:showBubbleSize val="0"/>
          <c:extLst>
            <c:ext xmlns:c15="http://schemas.microsoft.com/office/drawing/2012/chart" uri="{CE6537A1-D6FC-4f65-9D91-7224C49458BB}"/>
          </c:extLst>
        </c:dLbl>
      </c:pivotFmt>
      <c:pivotFmt>
        <c:idx val="594"/>
        <c:dLbl>
          <c:idx val="0"/>
          <c:showLegendKey val="0"/>
          <c:showVal val="0"/>
          <c:showCatName val="0"/>
          <c:showSerName val="0"/>
          <c:showPercent val="0"/>
          <c:showBubbleSize val="0"/>
          <c:extLst>
            <c:ext xmlns:c15="http://schemas.microsoft.com/office/drawing/2012/chart" uri="{CE6537A1-D6FC-4f65-9D91-7224C49458BB}"/>
          </c:extLst>
        </c:dLbl>
      </c:pivotFmt>
      <c:pivotFmt>
        <c:idx val="595"/>
        <c:dLbl>
          <c:idx val="0"/>
          <c:showLegendKey val="0"/>
          <c:showVal val="0"/>
          <c:showCatName val="0"/>
          <c:showSerName val="0"/>
          <c:showPercent val="0"/>
          <c:showBubbleSize val="0"/>
          <c:extLst>
            <c:ext xmlns:c15="http://schemas.microsoft.com/office/drawing/2012/chart" uri="{CE6537A1-D6FC-4f65-9D91-7224C49458BB}"/>
          </c:extLst>
        </c:dLbl>
      </c:pivotFmt>
      <c:pivotFmt>
        <c:idx val="596"/>
        <c:dLbl>
          <c:idx val="0"/>
          <c:showLegendKey val="0"/>
          <c:showVal val="0"/>
          <c:showCatName val="0"/>
          <c:showSerName val="0"/>
          <c:showPercent val="0"/>
          <c:showBubbleSize val="0"/>
          <c:extLst>
            <c:ext xmlns:c15="http://schemas.microsoft.com/office/drawing/2012/chart" uri="{CE6537A1-D6FC-4f65-9D91-7224C49458BB}"/>
          </c:extLst>
        </c:dLbl>
      </c:pivotFmt>
      <c:pivotFmt>
        <c:idx val="597"/>
        <c:dLbl>
          <c:idx val="0"/>
          <c:showLegendKey val="0"/>
          <c:showVal val="0"/>
          <c:showCatName val="0"/>
          <c:showSerName val="0"/>
          <c:showPercent val="0"/>
          <c:showBubbleSize val="0"/>
          <c:extLst>
            <c:ext xmlns:c15="http://schemas.microsoft.com/office/drawing/2012/chart" uri="{CE6537A1-D6FC-4f65-9D91-7224C49458BB}"/>
          </c:extLst>
        </c:dLbl>
      </c:pivotFmt>
      <c:pivotFmt>
        <c:idx val="598"/>
        <c:dLbl>
          <c:idx val="0"/>
          <c:showLegendKey val="0"/>
          <c:showVal val="0"/>
          <c:showCatName val="0"/>
          <c:showSerName val="0"/>
          <c:showPercent val="0"/>
          <c:showBubbleSize val="0"/>
          <c:extLst>
            <c:ext xmlns:c15="http://schemas.microsoft.com/office/drawing/2012/chart" uri="{CE6537A1-D6FC-4f65-9D91-7224C49458BB}"/>
          </c:extLst>
        </c:dLbl>
      </c:pivotFmt>
      <c:pivotFmt>
        <c:idx val="599"/>
        <c:dLbl>
          <c:idx val="0"/>
          <c:showLegendKey val="0"/>
          <c:showVal val="0"/>
          <c:showCatName val="0"/>
          <c:showSerName val="0"/>
          <c:showPercent val="0"/>
          <c:showBubbleSize val="0"/>
          <c:extLst>
            <c:ext xmlns:c15="http://schemas.microsoft.com/office/drawing/2012/chart" uri="{CE6537A1-D6FC-4f65-9D91-7224C49458BB}"/>
          </c:extLst>
        </c:dLbl>
      </c:pivotFmt>
      <c:pivotFmt>
        <c:idx val="600"/>
        <c:dLbl>
          <c:idx val="0"/>
          <c:showLegendKey val="0"/>
          <c:showVal val="0"/>
          <c:showCatName val="0"/>
          <c:showSerName val="0"/>
          <c:showPercent val="0"/>
          <c:showBubbleSize val="0"/>
          <c:extLst>
            <c:ext xmlns:c15="http://schemas.microsoft.com/office/drawing/2012/chart" uri="{CE6537A1-D6FC-4f65-9D91-7224C49458BB}"/>
          </c:extLst>
        </c:dLbl>
      </c:pivotFmt>
      <c:pivotFmt>
        <c:idx val="601"/>
        <c:dLbl>
          <c:idx val="0"/>
          <c:showLegendKey val="0"/>
          <c:showVal val="0"/>
          <c:showCatName val="0"/>
          <c:showSerName val="0"/>
          <c:showPercent val="0"/>
          <c:showBubbleSize val="0"/>
          <c:extLst>
            <c:ext xmlns:c15="http://schemas.microsoft.com/office/drawing/2012/chart" uri="{CE6537A1-D6FC-4f65-9D91-7224C49458BB}"/>
          </c:extLst>
        </c:dLbl>
      </c:pivotFmt>
      <c:pivotFmt>
        <c:idx val="602"/>
        <c:dLbl>
          <c:idx val="0"/>
          <c:showLegendKey val="0"/>
          <c:showVal val="0"/>
          <c:showCatName val="0"/>
          <c:showSerName val="0"/>
          <c:showPercent val="0"/>
          <c:showBubbleSize val="0"/>
          <c:extLst>
            <c:ext xmlns:c15="http://schemas.microsoft.com/office/drawing/2012/chart" uri="{CE6537A1-D6FC-4f65-9D91-7224C49458BB}"/>
          </c:extLst>
        </c:dLbl>
      </c:pivotFmt>
      <c:pivotFmt>
        <c:idx val="603"/>
        <c:dLbl>
          <c:idx val="0"/>
          <c:showLegendKey val="0"/>
          <c:showVal val="0"/>
          <c:showCatName val="0"/>
          <c:showSerName val="0"/>
          <c:showPercent val="0"/>
          <c:showBubbleSize val="0"/>
          <c:extLst>
            <c:ext xmlns:c15="http://schemas.microsoft.com/office/drawing/2012/chart" uri="{CE6537A1-D6FC-4f65-9D91-7224C49458BB}"/>
          </c:extLst>
        </c:dLbl>
      </c:pivotFmt>
      <c:pivotFmt>
        <c:idx val="604"/>
        <c:dLbl>
          <c:idx val="0"/>
          <c:showLegendKey val="0"/>
          <c:showVal val="0"/>
          <c:showCatName val="0"/>
          <c:showSerName val="0"/>
          <c:showPercent val="0"/>
          <c:showBubbleSize val="0"/>
          <c:extLst>
            <c:ext xmlns:c15="http://schemas.microsoft.com/office/drawing/2012/chart" uri="{CE6537A1-D6FC-4f65-9D91-7224C49458BB}"/>
          </c:extLst>
        </c:dLbl>
      </c:pivotFmt>
      <c:pivotFmt>
        <c:idx val="605"/>
        <c:dLbl>
          <c:idx val="0"/>
          <c:showLegendKey val="0"/>
          <c:showVal val="0"/>
          <c:showCatName val="0"/>
          <c:showSerName val="0"/>
          <c:showPercent val="0"/>
          <c:showBubbleSize val="0"/>
          <c:extLst>
            <c:ext xmlns:c15="http://schemas.microsoft.com/office/drawing/2012/chart" uri="{CE6537A1-D6FC-4f65-9D91-7224C49458BB}"/>
          </c:extLst>
        </c:dLbl>
      </c:pivotFmt>
      <c:pivotFmt>
        <c:idx val="606"/>
        <c:dLbl>
          <c:idx val="0"/>
          <c:showLegendKey val="0"/>
          <c:showVal val="0"/>
          <c:showCatName val="0"/>
          <c:showSerName val="0"/>
          <c:showPercent val="0"/>
          <c:showBubbleSize val="0"/>
          <c:extLst>
            <c:ext xmlns:c15="http://schemas.microsoft.com/office/drawing/2012/chart" uri="{CE6537A1-D6FC-4f65-9D91-7224C49458BB}"/>
          </c:extLst>
        </c:dLbl>
      </c:pivotFmt>
      <c:pivotFmt>
        <c:idx val="607"/>
        <c:dLbl>
          <c:idx val="0"/>
          <c:showLegendKey val="0"/>
          <c:showVal val="0"/>
          <c:showCatName val="0"/>
          <c:showSerName val="0"/>
          <c:showPercent val="0"/>
          <c:showBubbleSize val="0"/>
          <c:extLst>
            <c:ext xmlns:c15="http://schemas.microsoft.com/office/drawing/2012/chart" uri="{CE6537A1-D6FC-4f65-9D91-7224C49458BB}"/>
          </c:extLst>
        </c:dLbl>
      </c:pivotFmt>
      <c:pivotFmt>
        <c:idx val="608"/>
        <c:dLbl>
          <c:idx val="0"/>
          <c:showLegendKey val="0"/>
          <c:showVal val="0"/>
          <c:showCatName val="0"/>
          <c:showSerName val="0"/>
          <c:showPercent val="0"/>
          <c:showBubbleSize val="0"/>
          <c:extLst>
            <c:ext xmlns:c15="http://schemas.microsoft.com/office/drawing/2012/chart" uri="{CE6537A1-D6FC-4f65-9D91-7224C49458BB}"/>
          </c:extLst>
        </c:dLbl>
      </c:pivotFmt>
      <c:pivotFmt>
        <c:idx val="609"/>
        <c:dLbl>
          <c:idx val="0"/>
          <c:showLegendKey val="0"/>
          <c:showVal val="0"/>
          <c:showCatName val="0"/>
          <c:showSerName val="0"/>
          <c:showPercent val="0"/>
          <c:showBubbleSize val="0"/>
          <c:extLst>
            <c:ext xmlns:c15="http://schemas.microsoft.com/office/drawing/2012/chart" uri="{CE6537A1-D6FC-4f65-9D91-7224C49458BB}"/>
          </c:extLst>
        </c:dLbl>
      </c:pivotFmt>
      <c:pivotFmt>
        <c:idx val="610"/>
        <c:dLbl>
          <c:idx val="0"/>
          <c:showLegendKey val="0"/>
          <c:showVal val="0"/>
          <c:showCatName val="0"/>
          <c:showSerName val="0"/>
          <c:showPercent val="0"/>
          <c:showBubbleSize val="0"/>
          <c:extLst>
            <c:ext xmlns:c15="http://schemas.microsoft.com/office/drawing/2012/chart" uri="{CE6537A1-D6FC-4f65-9D91-7224C49458BB}"/>
          </c:extLst>
        </c:dLbl>
      </c:pivotFmt>
      <c:pivotFmt>
        <c:idx val="611"/>
        <c:dLbl>
          <c:idx val="0"/>
          <c:showLegendKey val="0"/>
          <c:showVal val="0"/>
          <c:showCatName val="0"/>
          <c:showSerName val="0"/>
          <c:showPercent val="0"/>
          <c:showBubbleSize val="0"/>
          <c:extLst>
            <c:ext xmlns:c15="http://schemas.microsoft.com/office/drawing/2012/chart" uri="{CE6537A1-D6FC-4f65-9D91-7224C49458BB}"/>
          </c:extLst>
        </c:dLbl>
      </c:pivotFmt>
      <c:pivotFmt>
        <c:idx val="612"/>
        <c:dLbl>
          <c:idx val="0"/>
          <c:showLegendKey val="0"/>
          <c:showVal val="0"/>
          <c:showCatName val="0"/>
          <c:showSerName val="0"/>
          <c:showPercent val="0"/>
          <c:showBubbleSize val="0"/>
          <c:extLst>
            <c:ext xmlns:c15="http://schemas.microsoft.com/office/drawing/2012/chart" uri="{CE6537A1-D6FC-4f65-9D91-7224C49458BB}"/>
          </c:extLst>
        </c:dLbl>
      </c:pivotFmt>
      <c:pivotFmt>
        <c:idx val="613"/>
        <c:dLbl>
          <c:idx val="0"/>
          <c:showLegendKey val="0"/>
          <c:showVal val="0"/>
          <c:showCatName val="0"/>
          <c:showSerName val="0"/>
          <c:showPercent val="0"/>
          <c:showBubbleSize val="0"/>
          <c:extLst>
            <c:ext xmlns:c15="http://schemas.microsoft.com/office/drawing/2012/chart" uri="{CE6537A1-D6FC-4f65-9D91-7224C49458BB}"/>
          </c:extLst>
        </c:dLbl>
      </c:pivotFmt>
      <c:pivotFmt>
        <c:idx val="614"/>
        <c:dLbl>
          <c:idx val="0"/>
          <c:showLegendKey val="0"/>
          <c:showVal val="0"/>
          <c:showCatName val="0"/>
          <c:showSerName val="0"/>
          <c:showPercent val="0"/>
          <c:showBubbleSize val="0"/>
          <c:extLst>
            <c:ext xmlns:c15="http://schemas.microsoft.com/office/drawing/2012/chart" uri="{CE6537A1-D6FC-4f65-9D91-7224C49458BB}"/>
          </c:extLst>
        </c:dLbl>
      </c:pivotFmt>
      <c:pivotFmt>
        <c:idx val="615"/>
        <c:dLbl>
          <c:idx val="0"/>
          <c:showLegendKey val="0"/>
          <c:showVal val="0"/>
          <c:showCatName val="0"/>
          <c:showSerName val="0"/>
          <c:showPercent val="0"/>
          <c:showBubbleSize val="0"/>
          <c:extLst>
            <c:ext xmlns:c15="http://schemas.microsoft.com/office/drawing/2012/chart" uri="{CE6537A1-D6FC-4f65-9D91-7224C49458BB}"/>
          </c:extLst>
        </c:dLbl>
      </c:pivotFmt>
      <c:pivotFmt>
        <c:idx val="616"/>
        <c:dLbl>
          <c:idx val="0"/>
          <c:showLegendKey val="0"/>
          <c:showVal val="0"/>
          <c:showCatName val="0"/>
          <c:showSerName val="0"/>
          <c:showPercent val="0"/>
          <c:showBubbleSize val="0"/>
          <c:extLst>
            <c:ext xmlns:c15="http://schemas.microsoft.com/office/drawing/2012/chart" uri="{CE6537A1-D6FC-4f65-9D91-7224C49458BB}"/>
          </c:extLst>
        </c:dLbl>
      </c:pivotFmt>
      <c:pivotFmt>
        <c:idx val="617"/>
        <c:dLbl>
          <c:idx val="0"/>
          <c:showLegendKey val="0"/>
          <c:showVal val="0"/>
          <c:showCatName val="0"/>
          <c:showSerName val="0"/>
          <c:showPercent val="0"/>
          <c:showBubbleSize val="0"/>
          <c:extLst>
            <c:ext xmlns:c15="http://schemas.microsoft.com/office/drawing/2012/chart" uri="{CE6537A1-D6FC-4f65-9D91-7224C49458BB}"/>
          </c:extLst>
        </c:dLbl>
      </c:pivotFmt>
      <c:pivotFmt>
        <c:idx val="618"/>
        <c:dLbl>
          <c:idx val="0"/>
          <c:showLegendKey val="0"/>
          <c:showVal val="0"/>
          <c:showCatName val="0"/>
          <c:showSerName val="0"/>
          <c:showPercent val="0"/>
          <c:showBubbleSize val="0"/>
          <c:extLst>
            <c:ext xmlns:c15="http://schemas.microsoft.com/office/drawing/2012/chart" uri="{CE6537A1-D6FC-4f65-9D91-7224C49458BB}"/>
          </c:extLst>
        </c:dLbl>
      </c:pivotFmt>
      <c:pivotFmt>
        <c:idx val="619"/>
        <c:dLbl>
          <c:idx val="0"/>
          <c:showLegendKey val="0"/>
          <c:showVal val="0"/>
          <c:showCatName val="0"/>
          <c:showSerName val="0"/>
          <c:showPercent val="0"/>
          <c:showBubbleSize val="0"/>
          <c:extLst>
            <c:ext xmlns:c15="http://schemas.microsoft.com/office/drawing/2012/chart" uri="{CE6537A1-D6FC-4f65-9D91-7224C49458BB}"/>
          </c:extLst>
        </c:dLbl>
      </c:pivotFmt>
      <c:pivotFmt>
        <c:idx val="620"/>
        <c:dLbl>
          <c:idx val="0"/>
          <c:showLegendKey val="0"/>
          <c:showVal val="0"/>
          <c:showCatName val="0"/>
          <c:showSerName val="0"/>
          <c:showPercent val="0"/>
          <c:showBubbleSize val="0"/>
          <c:extLst>
            <c:ext xmlns:c15="http://schemas.microsoft.com/office/drawing/2012/chart" uri="{CE6537A1-D6FC-4f65-9D91-7224C49458BB}"/>
          </c:extLst>
        </c:dLbl>
      </c:pivotFmt>
      <c:pivotFmt>
        <c:idx val="621"/>
        <c:dLbl>
          <c:idx val="0"/>
          <c:showLegendKey val="0"/>
          <c:showVal val="0"/>
          <c:showCatName val="0"/>
          <c:showSerName val="0"/>
          <c:showPercent val="0"/>
          <c:showBubbleSize val="0"/>
          <c:extLst>
            <c:ext xmlns:c15="http://schemas.microsoft.com/office/drawing/2012/chart" uri="{CE6537A1-D6FC-4f65-9D91-7224C49458BB}"/>
          </c:extLst>
        </c:dLbl>
      </c:pivotFmt>
      <c:pivotFmt>
        <c:idx val="622"/>
        <c:dLbl>
          <c:idx val="0"/>
          <c:showLegendKey val="0"/>
          <c:showVal val="0"/>
          <c:showCatName val="0"/>
          <c:showSerName val="0"/>
          <c:showPercent val="0"/>
          <c:showBubbleSize val="0"/>
          <c:extLst>
            <c:ext xmlns:c15="http://schemas.microsoft.com/office/drawing/2012/chart" uri="{CE6537A1-D6FC-4f65-9D91-7224C49458BB}"/>
          </c:extLst>
        </c:dLbl>
      </c:pivotFmt>
      <c:pivotFmt>
        <c:idx val="623"/>
        <c:dLbl>
          <c:idx val="0"/>
          <c:showLegendKey val="0"/>
          <c:showVal val="0"/>
          <c:showCatName val="0"/>
          <c:showSerName val="0"/>
          <c:showPercent val="0"/>
          <c:showBubbleSize val="0"/>
          <c:extLst>
            <c:ext xmlns:c15="http://schemas.microsoft.com/office/drawing/2012/chart" uri="{CE6537A1-D6FC-4f65-9D91-7224C49458BB}"/>
          </c:extLst>
        </c:dLbl>
      </c:pivotFmt>
      <c:pivotFmt>
        <c:idx val="624"/>
        <c:dLbl>
          <c:idx val="0"/>
          <c:showLegendKey val="0"/>
          <c:showVal val="0"/>
          <c:showCatName val="0"/>
          <c:showSerName val="0"/>
          <c:showPercent val="0"/>
          <c:showBubbleSize val="0"/>
          <c:extLst>
            <c:ext xmlns:c15="http://schemas.microsoft.com/office/drawing/2012/chart" uri="{CE6537A1-D6FC-4f65-9D91-7224C49458BB}"/>
          </c:extLst>
        </c:dLbl>
      </c:pivotFmt>
      <c:pivotFmt>
        <c:idx val="625"/>
        <c:dLbl>
          <c:idx val="0"/>
          <c:showLegendKey val="0"/>
          <c:showVal val="0"/>
          <c:showCatName val="0"/>
          <c:showSerName val="0"/>
          <c:showPercent val="0"/>
          <c:showBubbleSize val="0"/>
          <c:extLst>
            <c:ext xmlns:c15="http://schemas.microsoft.com/office/drawing/2012/chart" uri="{CE6537A1-D6FC-4f65-9D91-7224C49458BB}"/>
          </c:extLst>
        </c:dLbl>
      </c:pivotFmt>
      <c:pivotFmt>
        <c:idx val="626"/>
        <c:dLbl>
          <c:idx val="0"/>
          <c:showLegendKey val="0"/>
          <c:showVal val="0"/>
          <c:showCatName val="0"/>
          <c:showSerName val="0"/>
          <c:showPercent val="0"/>
          <c:showBubbleSize val="0"/>
          <c:extLst>
            <c:ext xmlns:c15="http://schemas.microsoft.com/office/drawing/2012/chart" uri="{CE6537A1-D6FC-4f65-9D91-7224C49458BB}"/>
          </c:extLst>
        </c:dLbl>
      </c:pivotFmt>
      <c:pivotFmt>
        <c:idx val="627"/>
        <c:dLbl>
          <c:idx val="0"/>
          <c:showLegendKey val="0"/>
          <c:showVal val="0"/>
          <c:showCatName val="0"/>
          <c:showSerName val="0"/>
          <c:showPercent val="0"/>
          <c:showBubbleSize val="0"/>
          <c:extLst>
            <c:ext xmlns:c15="http://schemas.microsoft.com/office/drawing/2012/chart" uri="{CE6537A1-D6FC-4f65-9D91-7224C49458BB}"/>
          </c:extLst>
        </c:dLbl>
      </c:pivotFmt>
      <c:pivotFmt>
        <c:idx val="628"/>
        <c:dLbl>
          <c:idx val="0"/>
          <c:showLegendKey val="0"/>
          <c:showVal val="0"/>
          <c:showCatName val="0"/>
          <c:showSerName val="0"/>
          <c:showPercent val="0"/>
          <c:showBubbleSize val="0"/>
          <c:extLst>
            <c:ext xmlns:c15="http://schemas.microsoft.com/office/drawing/2012/chart" uri="{CE6537A1-D6FC-4f65-9D91-7224C49458BB}"/>
          </c:extLst>
        </c:dLbl>
      </c:pivotFmt>
      <c:pivotFmt>
        <c:idx val="629"/>
        <c:dLbl>
          <c:idx val="0"/>
          <c:showLegendKey val="0"/>
          <c:showVal val="0"/>
          <c:showCatName val="0"/>
          <c:showSerName val="0"/>
          <c:showPercent val="0"/>
          <c:showBubbleSize val="0"/>
          <c:extLst>
            <c:ext xmlns:c15="http://schemas.microsoft.com/office/drawing/2012/chart" uri="{CE6537A1-D6FC-4f65-9D91-7224C49458BB}"/>
          </c:extLst>
        </c:dLbl>
      </c:pivotFmt>
      <c:pivotFmt>
        <c:idx val="630"/>
        <c:dLbl>
          <c:idx val="0"/>
          <c:showLegendKey val="0"/>
          <c:showVal val="0"/>
          <c:showCatName val="0"/>
          <c:showSerName val="0"/>
          <c:showPercent val="0"/>
          <c:showBubbleSize val="0"/>
          <c:extLst>
            <c:ext xmlns:c15="http://schemas.microsoft.com/office/drawing/2012/chart" uri="{CE6537A1-D6FC-4f65-9D91-7224C49458BB}"/>
          </c:extLst>
        </c:dLbl>
      </c:pivotFmt>
      <c:pivotFmt>
        <c:idx val="631"/>
        <c:dLbl>
          <c:idx val="0"/>
          <c:showLegendKey val="0"/>
          <c:showVal val="0"/>
          <c:showCatName val="0"/>
          <c:showSerName val="0"/>
          <c:showPercent val="0"/>
          <c:showBubbleSize val="0"/>
          <c:extLst>
            <c:ext xmlns:c15="http://schemas.microsoft.com/office/drawing/2012/chart" uri="{CE6537A1-D6FC-4f65-9D91-7224C49458BB}"/>
          </c:extLst>
        </c:dLbl>
      </c:pivotFmt>
      <c:pivotFmt>
        <c:idx val="632"/>
        <c:dLbl>
          <c:idx val="0"/>
          <c:showLegendKey val="0"/>
          <c:showVal val="0"/>
          <c:showCatName val="0"/>
          <c:showSerName val="0"/>
          <c:showPercent val="0"/>
          <c:showBubbleSize val="0"/>
          <c:extLst>
            <c:ext xmlns:c15="http://schemas.microsoft.com/office/drawing/2012/chart" uri="{CE6537A1-D6FC-4f65-9D91-7224C49458BB}"/>
          </c:extLst>
        </c:dLbl>
      </c:pivotFmt>
      <c:pivotFmt>
        <c:idx val="633"/>
        <c:dLbl>
          <c:idx val="0"/>
          <c:showLegendKey val="0"/>
          <c:showVal val="0"/>
          <c:showCatName val="0"/>
          <c:showSerName val="0"/>
          <c:showPercent val="0"/>
          <c:showBubbleSize val="0"/>
          <c:extLst>
            <c:ext xmlns:c15="http://schemas.microsoft.com/office/drawing/2012/chart" uri="{CE6537A1-D6FC-4f65-9D91-7224C49458BB}"/>
          </c:extLst>
        </c:dLbl>
      </c:pivotFmt>
      <c:pivotFmt>
        <c:idx val="634"/>
        <c:dLbl>
          <c:idx val="0"/>
          <c:showLegendKey val="0"/>
          <c:showVal val="0"/>
          <c:showCatName val="0"/>
          <c:showSerName val="0"/>
          <c:showPercent val="0"/>
          <c:showBubbleSize val="0"/>
          <c:extLst>
            <c:ext xmlns:c15="http://schemas.microsoft.com/office/drawing/2012/chart" uri="{CE6537A1-D6FC-4f65-9D91-7224C49458BB}"/>
          </c:extLst>
        </c:dLbl>
      </c:pivotFmt>
      <c:pivotFmt>
        <c:idx val="635"/>
        <c:dLbl>
          <c:idx val="0"/>
          <c:showLegendKey val="0"/>
          <c:showVal val="0"/>
          <c:showCatName val="0"/>
          <c:showSerName val="0"/>
          <c:showPercent val="0"/>
          <c:showBubbleSize val="0"/>
          <c:extLst>
            <c:ext xmlns:c15="http://schemas.microsoft.com/office/drawing/2012/chart" uri="{CE6537A1-D6FC-4f65-9D91-7224C49458BB}"/>
          </c:extLst>
        </c:dLbl>
      </c:pivotFmt>
      <c:pivotFmt>
        <c:idx val="636"/>
        <c:dLbl>
          <c:idx val="0"/>
          <c:showLegendKey val="0"/>
          <c:showVal val="0"/>
          <c:showCatName val="0"/>
          <c:showSerName val="0"/>
          <c:showPercent val="0"/>
          <c:showBubbleSize val="0"/>
          <c:extLst>
            <c:ext xmlns:c15="http://schemas.microsoft.com/office/drawing/2012/chart" uri="{CE6537A1-D6FC-4f65-9D91-7224C49458BB}"/>
          </c:extLst>
        </c:dLbl>
      </c:pivotFmt>
      <c:pivotFmt>
        <c:idx val="637"/>
        <c:dLbl>
          <c:idx val="0"/>
          <c:showLegendKey val="0"/>
          <c:showVal val="0"/>
          <c:showCatName val="0"/>
          <c:showSerName val="0"/>
          <c:showPercent val="0"/>
          <c:showBubbleSize val="0"/>
          <c:extLst>
            <c:ext xmlns:c15="http://schemas.microsoft.com/office/drawing/2012/chart" uri="{CE6537A1-D6FC-4f65-9D91-7224C49458BB}"/>
          </c:extLst>
        </c:dLbl>
      </c:pivotFmt>
      <c:pivotFmt>
        <c:idx val="638"/>
        <c:dLbl>
          <c:idx val="0"/>
          <c:showLegendKey val="0"/>
          <c:showVal val="0"/>
          <c:showCatName val="0"/>
          <c:showSerName val="0"/>
          <c:showPercent val="0"/>
          <c:showBubbleSize val="0"/>
          <c:extLst>
            <c:ext xmlns:c15="http://schemas.microsoft.com/office/drawing/2012/chart" uri="{CE6537A1-D6FC-4f65-9D91-7224C49458BB}"/>
          </c:extLst>
        </c:dLbl>
      </c:pivotFmt>
      <c:pivotFmt>
        <c:idx val="639"/>
        <c:dLbl>
          <c:idx val="0"/>
          <c:showLegendKey val="0"/>
          <c:showVal val="0"/>
          <c:showCatName val="0"/>
          <c:showSerName val="0"/>
          <c:showPercent val="0"/>
          <c:showBubbleSize val="0"/>
          <c:extLst>
            <c:ext xmlns:c15="http://schemas.microsoft.com/office/drawing/2012/chart" uri="{CE6537A1-D6FC-4f65-9D91-7224C49458BB}"/>
          </c:extLst>
        </c:dLbl>
      </c:pivotFmt>
      <c:pivotFmt>
        <c:idx val="640"/>
        <c:dLbl>
          <c:idx val="0"/>
          <c:showLegendKey val="0"/>
          <c:showVal val="0"/>
          <c:showCatName val="0"/>
          <c:showSerName val="0"/>
          <c:showPercent val="0"/>
          <c:showBubbleSize val="0"/>
          <c:extLst>
            <c:ext xmlns:c15="http://schemas.microsoft.com/office/drawing/2012/chart" uri="{CE6537A1-D6FC-4f65-9D91-7224C49458BB}"/>
          </c:extLst>
        </c:dLbl>
      </c:pivotFmt>
      <c:pivotFmt>
        <c:idx val="641"/>
        <c:dLbl>
          <c:idx val="0"/>
          <c:showLegendKey val="0"/>
          <c:showVal val="0"/>
          <c:showCatName val="0"/>
          <c:showSerName val="0"/>
          <c:showPercent val="0"/>
          <c:showBubbleSize val="0"/>
          <c:extLst>
            <c:ext xmlns:c15="http://schemas.microsoft.com/office/drawing/2012/chart" uri="{CE6537A1-D6FC-4f65-9D91-7224C49458BB}"/>
          </c:extLst>
        </c:dLbl>
      </c:pivotFmt>
      <c:pivotFmt>
        <c:idx val="642"/>
        <c:dLbl>
          <c:idx val="0"/>
          <c:showLegendKey val="0"/>
          <c:showVal val="0"/>
          <c:showCatName val="0"/>
          <c:showSerName val="0"/>
          <c:showPercent val="0"/>
          <c:showBubbleSize val="0"/>
          <c:extLst>
            <c:ext xmlns:c15="http://schemas.microsoft.com/office/drawing/2012/chart" uri="{CE6537A1-D6FC-4f65-9D91-7224C49458BB}"/>
          </c:extLst>
        </c:dLbl>
      </c:pivotFmt>
      <c:pivotFmt>
        <c:idx val="643"/>
        <c:dLbl>
          <c:idx val="0"/>
          <c:showLegendKey val="0"/>
          <c:showVal val="0"/>
          <c:showCatName val="0"/>
          <c:showSerName val="0"/>
          <c:showPercent val="0"/>
          <c:showBubbleSize val="0"/>
          <c:extLst>
            <c:ext xmlns:c15="http://schemas.microsoft.com/office/drawing/2012/chart" uri="{CE6537A1-D6FC-4f65-9D91-7224C49458BB}"/>
          </c:extLst>
        </c:dLbl>
      </c:pivotFmt>
      <c:pivotFmt>
        <c:idx val="644"/>
        <c:dLbl>
          <c:idx val="0"/>
          <c:showLegendKey val="0"/>
          <c:showVal val="0"/>
          <c:showCatName val="0"/>
          <c:showSerName val="0"/>
          <c:showPercent val="0"/>
          <c:showBubbleSize val="0"/>
          <c:extLst>
            <c:ext xmlns:c15="http://schemas.microsoft.com/office/drawing/2012/chart" uri="{CE6537A1-D6FC-4f65-9D91-7224C49458BB}"/>
          </c:extLst>
        </c:dLbl>
      </c:pivotFmt>
      <c:pivotFmt>
        <c:idx val="645"/>
        <c:dLbl>
          <c:idx val="0"/>
          <c:showLegendKey val="0"/>
          <c:showVal val="0"/>
          <c:showCatName val="0"/>
          <c:showSerName val="0"/>
          <c:showPercent val="0"/>
          <c:showBubbleSize val="0"/>
          <c:extLst>
            <c:ext xmlns:c15="http://schemas.microsoft.com/office/drawing/2012/chart" uri="{CE6537A1-D6FC-4f65-9D91-7224C49458BB}"/>
          </c:extLst>
        </c:dLbl>
      </c:pivotFmt>
      <c:pivotFmt>
        <c:idx val="646"/>
        <c:dLbl>
          <c:idx val="0"/>
          <c:showLegendKey val="0"/>
          <c:showVal val="0"/>
          <c:showCatName val="0"/>
          <c:showSerName val="0"/>
          <c:showPercent val="0"/>
          <c:showBubbleSize val="0"/>
          <c:extLst>
            <c:ext xmlns:c15="http://schemas.microsoft.com/office/drawing/2012/chart" uri="{CE6537A1-D6FC-4f65-9D91-7224C49458BB}"/>
          </c:extLst>
        </c:dLbl>
      </c:pivotFmt>
      <c:pivotFmt>
        <c:idx val="647"/>
        <c:dLbl>
          <c:idx val="0"/>
          <c:showLegendKey val="0"/>
          <c:showVal val="0"/>
          <c:showCatName val="0"/>
          <c:showSerName val="0"/>
          <c:showPercent val="0"/>
          <c:showBubbleSize val="0"/>
          <c:extLst>
            <c:ext xmlns:c15="http://schemas.microsoft.com/office/drawing/2012/chart" uri="{CE6537A1-D6FC-4f65-9D91-7224C49458BB}"/>
          </c:extLst>
        </c:dLbl>
      </c:pivotFmt>
      <c:pivotFmt>
        <c:idx val="648"/>
        <c:dLbl>
          <c:idx val="0"/>
          <c:showLegendKey val="0"/>
          <c:showVal val="0"/>
          <c:showCatName val="0"/>
          <c:showSerName val="0"/>
          <c:showPercent val="0"/>
          <c:showBubbleSize val="0"/>
          <c:extLst>
            <c:ext xmlns:c15="http://schemas.microsoft.com/office/drawing/2012/chart" uri="{CE6537A1-D6FC-4f65-9D91-7224C49458BB}"/>
          </c:extLst>
        </c:dLbl>
      </c:pivotFmt>
      <c:pivotFmt>
        <c:idx val="649"/>
        <c:dLbl>
          <c:idx val="0"/>
          <c:showLegendKey val="0"/>
          <c:showVal val="0"/>
          <c:showCatName val="0"/>
          <c:showSerName val="0"/>
          <c:showPercent val="0"/>
          <c:showBubbleSize val="0"/>
          <c:extLst>
            <c:ext xmlns:c15="http://schemas.microsoft.com/office/drawing/2012/chart" uri="{CE6537A1-D6FC-4f65-9D91-7224C49458BB}"/>
          </c:extLst>
        </c:dLbl>
      </c:pivotFmt>
      <c:pivotFmt>
        <c:idx val="650"/>
        <c:dLbl>
          <c:idx val="0"/>
          <c:showLegendKey val="0"/>
          <c:showVal val="0"/>
          <c:showCatName val="0"/>
          <c:showSerName val="0"/>
          <c:showPercent val="0"/>
          <c:showBubbleSize val="0"/>
          <c:extLst>
            <c:ext xmlns:c15="http://schemas.microsoft.com/office/drawing/2012/chart" uri="{CE6537A1-D6FC-4f65-9D91-7224C49458BB}"/>
          </c:extLst>
        </c:dLbl>
      </c:pivotFmt>
      <c:pivotFmt>
        <c:idx val="651"/>
        <c:dLbl>
          <c:idx val="0"/>
          <c:showLegendKey val="0"/>
          <c:showVal val="0"/>
          <c:showCatName val="0"/>
          <c:showSerName val="0"/>
          <c:showPercent val="0"/>
          <c:showBubbleSize val="0"/>
          <c:extLst>
            <c:ext xmlns:c15="http://schemas.microsoft.com/office/drawing/2012/chart" uri="{CE6537A1-D6FC-4f65-9D91-7224C49458BB}"/>
          </c:extLst>
        </c:dLbl>
      </c:pivotFmt>
      <c:pivotFmt>
        <c:idx val="652"/>
        <c:dLbl>
          <c:idx val="0"/>
          <c:showLegendKey val="0"/>
          <c:showVal val="0"/>
          <c:showCatName val="0"/>
          <c:showSerName val="0"/>
          <c:showPercent val="0"/>
          <c:showBubbleSize val="0"/>
          <c:extLst>
            <c:ext xmlns:c15="http://schemas.microsoft.com/office/drawing/2012/chart" uri="{CE6537A1-D6FC-4f65-9D91-7224C49458BB}"/>
          </c:extLst>
        </c:dLbl>
      </c:pivotFmt>
      <c:pivotFmt>
        <c:idx val="653"/>
        <c:dLbl>
          <c:idx val="0"/>
          <c:showLegendKey val="0"/>
          <c:showVal val="0"/>
          <c:showCatName val="0"/>
          <c:showSerName val="0"/>
          <c:showPercent val="0"/>
          <c:showBubbleSize val="0"/>
          <c:extLst>
            <c:ext xmlns:c15="http://schemas.microsoft.com/office/drawing/2012/chart" uri="{CE6537A1-D6FC-4f65-9D91-7224C49458BB}"/>
          </c:extLst>
        </c:dLbl>
      </c:pivotFmt>
      <c:pivotFmt>
        <c:idx val="654"/>
        <c:dLbl>
          <c:idx val="0"/>
          <c:showLegendKey val="0"/>
          <c:showVal val="0"/>
          <c:showCatName val="0"/>
          <c:showSerName val="0"/>
          <c:showPercent val="0"/>
          <c:showBubbleSize val="0"/>
          <c:extLst>
            <c:ext xmlns:c15="http://schemas.microsoft.com/office/drawing/2012/chart" uri="{CE6537A1-D6FC-4f65-9D91-7224C49458BB}"/>
          </c:extLst>
        </c:dLbl>
      </c:pivotFmt>
      <c:pivotFmt>
        <c:idx val="655"/>
        <c:dLbl>
          <c:idx val="0"/>
          <c:showLegendKey val="0"/>
          <c:showVal val="0"/>
          <c:showCatName val="0"/>
          <c:showSerName val="0"/>
          <c:showPercent val="0"/>
          <c:showBubbleSize val="0"/>
          <c:extLst>
            <c:ext xmlns:c15="http://schemas.microsoft.com/office/drawing/2012/chart" uri="{CE6537A1-D6FC-4f65-9D91-7224C49458BB}"/>
          </c:extLst>
        </c:dLbl>
      </c:pivotFmt>
      <c:pivotFmt>
        <c:idx val="656"/>
        <c:dLbl>
          <c:idx val="0"/>
          <c:showLegendKey val="0"/>
          <c:showVal val="0"/>
          <c:showCatName val="0"/>
          <c:showSerName val="0"/>
          <c:showPercent val="0"/>
          <c:showBubbleSize val="0"/>
          <c:extLst>
            <c:ext xmlns:c15="http://schemas.microsoft.com/office/drawing/2012/chart" uri="{CE6537A1-D6FC-4f65-9D91-7224C49458BB}"/>
          </c:extLst>
        </c:dLbl>
      </c:pivotFmt>
      <c:pivotFmt>
        <c:idx val="657"/>
        <c:dLbl>
          <c:idx val="0"/>
          <c:showLegendKey val="0"/>
          <c:showVal val="0"/>
          <c:showCatName val="0"/>
          <c:showSerName val="0"/>
          <c:showPercent val="0"/>
          <c:showBubbleSize val="0"/>
          <c:extLst>
            <c:ext xmlns:c15="http://schemas.microsoft.com/office/drawing/2012/chart" uri="{CE6537A1-D6FC-4f65-9D91-7224C49458BB}"/>
          </c:extLst>
        </c:dLbl>
      </c:pivotFmt>
      <c:pivotFmt>
        <c:idx val="658"/>
        <c:dLbl>
          <c:idx val="0"/>
          <c:showLegendKey val="0"/>
          <c:showVal val="0"/>
          <c:showCatName val="0"/>
          <c:showSerName val="0"/>
          <c:showPercent val="0"/>
          <c:showBubbleSize val="0"/>
          <c:extLst>
            <c:ext xmlns:c15="http://schemas.microsoft.com/office/drawing/2012/chart" uri="{CE6537A1-D6FC-4f65-9D91-7224C49458BB}"/>
          </c:extLst>
        </c:dLbl>
      </c:pivotFmt>
      <c:pivotFmt>
        <c:idx val="659"/>
        <c:dLbl>
          <c:idx val="0"/>
          <c:showLegendKey val="0"/>
          <c:showVal val="0"/>
          <c:showCatName val="0"/>
          <c:showSerName val="0"/>
          <c:showPercent val="0"/>
          <c:showBubbleSize val="0"/>
          <c:extLst>
            <c:ext xmlns:c15="http://schemas.microsoft.com/office/drawing/2012/chart" uri="{CE6537A1-D6FC-4f65-9D91-7224C49458BB}"/>
          </c:extLst>
        </c:dLbl>
      </c:pivotFmt>
      <c:pivotFmt>
        <c:idx val="660"/>
        <c:dLbl>
          <c:idx val="0"/>
          <c:showLegendKey val="0"/>
          <c:showVal val="0"/>
          <c:showCatName val="0"/>
          <c:showSerName val="0"/>
          <c:showPercent val="0"/>
          <c:showBubbleSize val="0"/>
          <c:extLst>
            <c:ext xmlns:c15="http://schemas.microsoft.com/office/drawing/2012/chart" uri="{CE6537A1-D6FC-4f65-9D91-7224C49458BB}"/>
          </c:extLst>
        </c:dLbl>
      </c:pivotFmt>
      <c:pivotFmt>
        <c:idx val="661"/>
        <c:dLbl>
          <c:idx val="0"/>
          <c:showLegendKey val="0"/>
          <c:showVal val="0"/>
          <c:showCatName val="0"/>
          <c:showSerName val="0"/>
          <c:showPercent val="0"/>
          <c:showBubbleSize val="0"/>
          <c:extLst>
            <c:ext xmlns:c15="http://schemas.microsoft.com/office/drawing/2012/chart" uri="{CE6537A1-D6FC-4f65-9D91-7224C49458BB}"/>
          </c:extLst>
        </c:dLbl>
      </c:pivotFmt>
      <c:pivotFmt>
        <c:idx val="662"/>
        <c:dLbl>
          <c:idx val="0"/>
          <c:showLegendKey val="0"/>
          <c:showVal val="0"/>
          <c:showCatName val="0"/>
          <c:showSerName val="0"/>
          <c:showPercent val="0"/>
          <c:showBubbleSize val="0"/>
          <c:extLst>
            <c:ext xmlns:c15="http://schemas.microsoft.com/office/drawing/2012/chart" uri="{CE6537A1-D6FC-4f65-9D91-7224C49458BB}"/>
          </c:extLst>
        </c:dLbl>
      </c:pivotFmt>
      <c:pivotFmt>
        <c:idx val="663"/>
        <c:dLbl>
          <c:idx val="0"/>
          <c:showLegendKey val="0"/>
          <c:showVal val="0"/>
          <c:showCatName val="0"/>
          <c:showSerName val="0"/>
          <c:showPercent val="0"/>
          <c:showBubbleSize val="0"/>
          <c:extLst>
            <c:ext xmlns:c15="http://schemas.microsoft.com/office/drawing/2012/chart" uri="{CE6537A1-D6FC-4f65-9D91-7224C49458BB}"/>
          </c:extLst>
        </c:dLbl>
      </c:pivotFmt>
      <c:pivotFmt>
        <c:idx val="664"/>
        <c:dLbl>
          <c:idx val="0"/>
          <c:showLegendKey val="0"/>
          <c:showVal val="0"/>
          <c:showCatName val="0"/>
          <c:showSerName val="0"/>
          <c:showPercent val="0"/>
          <c:showBubbleSize val="0"/>
          <c:extLst>
            <c:ext xmlns:c15="http://schemas.microsoft.com/office/drawing/2012/chart" uri="{CE6537A1-D6FC-4f65-9D91-7224C49458BB}"/>
          </c:extLst>
        </c:dLbl>
      </c:pivotFmt>
      <c:pivotFmt>
        <c:idx val="665"/>
        <c:dLbl>
          <c:idx val="0"/>
          <c:showLegendKey val="0"/>
          <c:showVal val="0"/>
          <c:showCatName val="0"/>
          <c:showSerName val="0"/>
          <c:showPercent val="0"/>
          <c:showBubbleSize val="0"/>
          <c:extLst>
            <c:ext xmlns:c15="http://schemas.microsoft.com/office/drawing/2012/chart" uri="{CE6537A1-D6FC-4f65-9D91-7224C49458BB}"/>
          </c:extLst>
        </c:dLbl>
      </c:pivotFmt>
      <c:pivotFmt>
        <c:idx val="666"/>
        <c:dLbl>
          <c:idx val="0"/>
          <c:showLegendKey val="0"/>
          <c:showVal val="0"/>
          <c:showCatName val="0"/>
          <c:showSerName val="0"/>
          <c:showPercent val="0"/>
          <c:showBubbleSize val="0"/>
          <c:extLst>
            <c:ext xmlns:c15="http://schemas.microsoft.com/office/drawing/2012/chart" uri="{CE6537A1-D6FC-4f65-9D91-7224C49458BB}"/>
          </c:extLst>
        </c:dLbl>
      </c:pivotFmt>
      <c:pivotFmt>
        <c:idx val="667"/>
        <c:dLbl>
          <c:idx val="0"/>
          <c:showLegendKey val="0"/>
          <c:showVal val="0"/>
          <c:showCatName val="0"/>
          <c:showSerName val="0"/>
          <c:showPercent val="0"/>
          <c:showBubbleSize val="0"/>
          <c:extLst>
            <c:ext xmlns:c15="http://schemas.microsoft.com/office/drawing/2012/chart" uri="{CE6537A1-D6FC-4f65-9D91-7224C49458BB}"/>
          </c:extLst>
        </c:dLbl>
      </c:pivotFmt>
      <c:pivotFmt>
        <c:idx val="668"/>
        <c:dLbl>
          <c:idx val="0"/>
          <c:showLegendKey val="0"/>
          <c:showVal val="0"/>
          <c:showCatName val="0"/>
          <c:showSerName val="0"/>
          <c:showPercent val="0"/>
          <c:showBubbleSize val="0"/>
          <c:extLst>
            <c:ext xmlns:c15="http://schemas.microsoft.com/office/drawing/2012/chart" uri="{CE6537A1-D6FC-4f65-9D91-7224C49458BB}"/>
          </c:extLst>
        </c:dLbl>
      </c:pivotFmt>
      <c:pivotFmt>
        <c:idx val="669"/>
        <c:dLbl>
          <c:idx val="0"/>
          <c:showLegendKey val="0"/>
          <c:showVal val="0"/>
          <c:showCatName val="0"/>
          <c:showSerName val="0"/>
          <c:showPercent val="0"/>
          <c:showBubbleSize val="0"/>
          <c:extLst>
            <c:ext xmlns:c15="http://schemas.microsoft.com/office/drawing/2012/chart" uri="{CE6537A1-D6FC-4f65-9D91-7224C49458BB}"/>
          </c:extLst>
        </c:dLbl>
      </c:pivotFmt>
      <c:pivotFmt>
        <c:idx val="670"/>
        <c:dLbl>
          <c:idx val="0"/>
          <c:showLegendKey val="0"/>
          <c:showVal val="0"/>
          <c:showCatName val="0"/>
          <c:showSerName val="0"/>
          <c:showPercent val="0"/>
          <c:showBubbleSize val="0"/>
          <c:extLst>
            <c:ext xmlns:c15="http://schemas.microsoft.com/office/drawing/2012/chart" uri="{CE6537A1-D6FC-4f65-9D91-7224C49458BB}"/>
          </c:extLst>
        </c:dLbl>
      </c:pivotFmt>
      <c:pivotFmt>
        <c:idx val="671"/>
        <c:dLbl>
          <c:idx val="0"/>
          <c:showLegendKey val="0"/>
          <c:showVal val="0"/>
          <c:showCatName val="0"/>
          <c:showSerName val="0"/>
          <c:showPercent val="0"/>
          <c:showBubbleSize val="0"/>
          <c:extLst>
            <c:ext xmlns:c15="http://schemas.microsoft.com/office/drawing/2012/chart" uri="{CE6537A1-D6FC-4f65-9D91-7224C49458BB}"/>
          </c:extLst>
        </c:dLbl>
      </c:pivotFmt>
      <c:pivotFmt>
        <c:idx val="672"/>
        <c:spPr>
          <a:solidFill>
            <a:srgbClr val="00B0F0">
              <a:alpha val="85000"/>
            </a:srgbClr>
          </a:solidFill>
          <a:ln w="9525" cap="flat" cmpd="sng" algn="ctr">
            <a:no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73"/>
        <c:spPr>
          <a:solidFill>
            <a:schemeClr val="accent1">
              <a:alpha val="85000"/>
            </a:schemeClr>
          </a:solidFill>
          <a:ln w="9525" cap="flat" cmpd="sng" algn="ctr">
            <a:no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74"/>
        <c:spPr>
          <a:solidFill>
            <a:srgbClr val="ED1313"/>
          </a:solidFill>
          <a:ln w="9525" cap="flat" cmpd="sng" algn="ctr">
            <a:noFill/>
            <a:round/>
          </a:ln>
          <a:effectLst/>
        </c:spPr>
      </c:pivotFmt>
      <c:pivotFmt>
        <c:idx val="675"/>
        <c:spPr>
          <a:solidFill>
            <a:srgbClr val="00B0F0">
              <a:alpha val="85000"/>
            </a:srgb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76"/>
        <c:spPr>
          <a:solidFill>
            <a:schemeClr val="accent1">
              <a:alpha val="85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77"/>
        <c:spPr>
          <a:solidFill>
            <a:srgbClr val="ED1313"/>
          </a:solidFill>
          <a:ln w="9525" cap="flat" cmpd="sng" algn="ctr">
            <a:noFill/>
            <a:round/>
          </a:ln>
          <a:effectLst/>
        </c:spPr>
      </c:pivotFmt>
      <c:pivotFmt>
        <c:idx val="678"/>
        <c:spPr>
          <a:solidFill>
            <a:srgbClr val="00B0F0">
              <a:alpha val="85000"/>
            </a:srgb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79"/>
        <c:spPr>
          <a:solidFill>
            <a:schemeClr val="accent1">
              <a:alpha val="85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80"/>
        <c:spPr>
          <a:solidFill>
            <a:srgbClr val="ED1313"/>
          </a:solidFill>
          <a:ln w="9525" cap="flat" cmpd="sng" algn="ctr">
            <a:noFill/>
            <a:round/>
          </a:ln>
          <a:effectLst/>
        </c:spPr>
      </c:pivotFmt>
    </c:pivotFmts>
    <c:plotArea>
      <c:layout/>
      <c:barChart>
        <c:barDir val="bar"/>
        <c:grouping val="clustered"/>
        <c:varyColors val="0"/>
        <c:ser>
          <c:idx val="0"/>
          <c:order val="0"/>
          <c:tx>
            <c:strRef>
              <c:f>'Task 4'!$A$3</c:f>
              <c:strCache>
                <c:ptCount val="1"/>
                <c:pt idx="0">
                  <c:v>Sum of Recovered Cases</c:v>
                </c:pt>
              </c:strCache>
            </c:strRef>
          </c:tx>
          <c:spPr>
            <a:solidFill>
              <a:srgbClr val="00B0F0">
                <a:alpha val="85000"/>
              </a:srgb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4'!$A$4</c:f>
              <c:strCache>
                <c:ptCount val="1"/>
                <c:pt idx="0">
                  <c:v>Total</c:v>
                </c:pt>
              </c:strCache>
            </c:strRef>
          </c:cat>
          <c:val>
            <c:numRef>
              <c:f>'Task 4'!$A$4</c:f>
              <c:numCache>
                <c:formatCode>#,##0</c:formatCode>
                <c:ptCount val="1"/>
                <c:pt idx="0">
                  <c:v>5638621</c:v>
                </c:pt>
              </c:numCache>
            </c:numRef>
          </c:val>
          <c:extLst>
            <c:ext xmlns:c16="http://schemas.microsoft.com/office/drawing/2014/chart" uri="{C3380CC4-5D6E-409C-BE32-E72D297353CC}">
              <c16:uniqueId val="{00000000-9688-4CAE-94F3-F8883BB688E6}"/>
            </c:ext>
          </c:extLst>
        </c:ser>
        <c:ser>
          <c:idx val="1"/>
          <c:order val="1"/>
          <c:tx>
            <c:strRef>
              <c:f>'Task 4'!$B$3</c:f>
              <c:strCache>
                <c:ptCount val="1"/>
                <c:pt idx="0">
                  <c:v>Sum of Total Cases</c:v>
                </c:pt>
              </c:strCache>
            </c:strRef>
          </c:tx>
          <c:spPr>
            <a:solidFill>
              <a:schemeClr val="accent2">
                <a:alpha val="85000"/>
              </a:schemeClr>
            </a:solidFill>
            <a:ln w="9525" cap="flat" cmpd="sng" algn="ctr">
              <a:noFill/>
              <a:round/>
            </a:ln>
            <a:effectLst/>
          </c:spPr>
          <c:invertIfNegative val="0"/>
          <c:dPt>
            <c:idx val="0"/>
            <c:invertIfNegative val="0"/>
            <c:bubble3D val="0"/>
            <c:spPr>
              <a:solidFill>
                <a:srgbClr val="ED1313"/>
              </a:solidFill>
              <a:ln w="9525" cap="flat" cmpd="sng" algn="ctr">
                <a:noFill/>
                <a:round/>
              </a:ln>
              <a:effectLst/>
            </c:spPr>
            <c:extLst>
              <c:ext xmlns:c16="http://schemas.microsoft.com/office/drawing/2014/chart" uri="{C3380CC4-5D6E-409C-BE32-E72D297353CC}">
                <c16:uniqueId val="{00000002-9688-4CAE-94F3-F8883BB688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entury Gothic" panose="020B0502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4'!$A$4</c:f>
              <c:strCache>
                <c:ptCount val="1"/>
                <c:pt idx="0">
                  <c:v>Total</c:v>
                </c:pt>
              </c:strCache>
            </c:strRef>
          </c:cat>
          <c:val>
            <c:numRef>
              <c:f>'Task 4'!$B$4</c:f>
              <c:numCache>
                <c:formatCode>#,##0</c:formatCode>
                <c:ptCount val="1"/>
                <c:pt idx="0">
                  <c:v>5647957</c:v>
                </c:pt>
              </c:numCache>
            </c:numRef>
          </c:val>
          <c:extLst>
            <c:ext xmlns:c16="http://schemas.microsoft.com/office/drawing/2014/chart" uri="{C3380CC4-5D6E-409C-BE32-E72D297353CC}">
              <c16:uniqueId val="{00000003-9688-4CAE-94F3-F8883BB688E6}"/>
            </c:ext>
          </c:extLst>
        </c:ser>
        <c:dLbls>
          <c:dLblPos val="inEnd"/>
          <c:showLegendKey val="0"/>
          <c:showVal val="1"/>
          <c:showCatName val="0"/>
          <c:showSerName val="0"/>
          <c:showPercent val="0"/>
          <c:showBubbleSize val="0"/>
        </c:dLbls>
        <c:gapWidth val="65"/>
        <c:axId val="506704192"/>
        <c:axId val="279432815"/>
      </c:barChart>
      <c:catAx>
        <c:axId val="506704192"/>
        <c:scaling>
          <c:orientation val="minMax"/>
        </c:scaling>
        <c:delete val="1"/>
        <c:axPos val="l"/>
        <c:numFmt formatCode="General" sourceLinked="1"/>
        <c:majorTickMark val="none"/>
        <c:minorTickMark val="none"/>
        <c:tickLblPos val="nextTo"/>
        <c:crossAx val="279432815"/>
        <c:crosses val="autoZero"/>
        <c:auto val="1"/>
        <c:lblAlgn val="ctr"/>
        <c:lblOffset val="100"/>
        <c:noMultiLvlLbl val="0"/>
      </c:catAx>
      <c:valAx>
        <c:axId val="279432815"/>
        <c:scaling>
          <c:orientation val="minMax"/>
        </c:scaling>
        <c:delete val="1"/>
        <c:axPos val="b"/>
        <c:numFmt formatCode="#,##0" sourceLinked="1"/>
        <c:majorTickMark val="none"/>
        <c:minorTickMark val="none"/>
        <c:tickLblPos val="nextTo"/>
        <c:crossAx val="50670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5400" cap="flat" cmpd="sng" algn="ctr">
      <a:solidFill>
        <a:schemeClr val="tx1">
          <a:lumMod val="65000"/>
          <a:lumOff val="35000"/>
          <a:alpha val="60000"/>
        </a:schemeClr>
      </a:solidFill>
      <a:round/>
    </a:ln>
    <a:effectLst/>
  </c:spPr>
  <c:txPr>
    <a:bodyPr/>
    <a:lstStyle/>
    <a:p>
      <a:pPr>
        <a:defRPr>
          <a:solidFill>
            <a:schemeClr val="tx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[Covid-19.xlsx]Task 1!PivotTable1</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r>
              <a:rPr lang="en-US" b="1"/>
              <a:t>Top 5 Countries with Highest Number of Cases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gradFill>
            <a:gsLst>
              <a:gs pos="47000">
                <a:srgbClr val="B40000"/>
              </a:gs>
              <a:gs pos="82000">
                <a:srgbClr val="56ACD2"/>
              </a:gs>
            </a:gsLst>
            <a:lin ang="60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7000">
                <a:srgbClr val="B40000"/>
              </a:gs>
              <a:gs pos="82000">
                <a:srgbClr val="56ACD2"/>
              </a:gs>
            </a:gsLst>
            <a:lin ang="6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7000">
                <a:srgbClr val="B40000"/>
              </a:gs>
              <a:gs pos="82000">
                <a:srgbClr val="56ACD2"/>
              </a:gs>
            </a:gsLst>
            <a:lin ang="6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1'!$B$4</c:f>
              <c:strCache>
                <c:ptCount val="1"/>
                <c:pt idx="0">
                  <c:v>Total</c:v>
                </c:pt>
              </c:strCache>
            </c:strRef>
          </c:tx>
          <c:spPr>
            <a:gradFill>
              <a:gsLst>
                <a:gs pos="47000">
                  <a:srgbClr val="B40000"/>
                </a:gs>
                <a:gs pos="82000">
                  <a:srgbClr val="56ACD2"/>
                </a:gs>
              </a:gsLst>
              <a:lin ang="6000000" scaled="0"/>
            </a:gradFill>
            <a:ln>
              <a:noFill/>
            </a:ln>
            <a:effectLst/>
          </c:spPr>
          <c:invertIfNegative val="0"/>
          <c:cat>
            <c:strRef>
              <c:f>'Task 1'!$A$5:$A$9</c:f>
              <c:strCache>
                <c:ptCount val="5"/>
                <c:pt idx="0">
                  <c:v>Australia</c:v>
                </c:pt>
                <c:pt idx="1">
                  <c:v>New Zealand</c:v>
                </c:pt>
                <c:pt idx="2">
                  <c:v>French Polynesia</c:v>
                </c:pt>
                <c:pt idx="3">
                  <c:v>Fiji</c:v>
                </c:pt>
                <c:pt idx="4">
                  <c:v>New Caledonia</c:v>
                </c:pt>
              </c:strCache>
            </c:strRef>
          </c:cat>
          <c:val>
            <c:numRef>
              <c:f>'Task 1'!$B$5:$B$9</c:f>
              <c:numCache>
                <c:formatCode>0.0,,\ "M"</c:formatCode>
                <c:ptCount val="5"/>
                <c:pt idx="0">
                  <c:v>4680816</c:v>
                </c:pt>
                <c:pt idx="1">
                  <c:v>693219</c:v>
                </c:pt>
                <c:pt idx="2">
                  <c:v>72318</c:v>
                </c:pt>
                <c:pt idx="3">
                  <c:v>64422</c:v>
                </c:pt>
                <c:pt idx="4">
                  <c:v>60294</c:v>
                </c:pt>
              </c:numCache>
            </c:numRef>
          </c:val>
          <c:extLst>
            <c:ext xmlns:c16="http://schemas.microsoft.com/office/drawing/2014/chart" uri="{C3380CC4-5D6E-409C-BE32-E72D297353CC}">
              <c16:uniqueId val="{00000000-B300-4A23-B024-757D08521052}"/>
            </c:ext>
          </c:extLst>
        </c:ser>
        <c:dLbls>
          <c:showLegendKey val="0"/>
          <c:showVal val="0"/>
          <c:showCatName val="0"/>
          <c:showSerName val="0"/>
          <c:showPercent val="0"/>
          <c:showBubbleSize val="0"/>
        </c:dLbls>
        <c:gapWidth val="219"/>
        <c:overlap val="-27"/>
        <c:axId val="480059359"/>
        <c:axId val="480075679"/>
      </c:barChart>
      <c:catAx>
        <c:axId val="48005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entury Gothic" panose="020B0502020202020204" pitchFamily="34" charset="0"/>
                <a:ea typeface="+mn-ea"/>
                <a:cs typeface="+mn-cs"/>
              </a:defRPr>
            </a:pPr>
            <a:endParaRPr lang="en-US"/>
          </a:p>
        </c:txPr>
        <c:crossAx val="480075679"/>
        <c:crosses val="autoZero"/>
        <c:auto val="1"/>
        <c:lblAlgn val="ctr"/>
        <c:lblOffset val="100"/>
        <c:noMultiLvlLbl val="0"/>
      </c:catAx>
      <c:valAx>
        <c:axId val="480075679"/>
        <c:scaling>
          <c:orientation val="minMax"/>
        </c:scaling>
        <c:delete val="0"/>
        <c:axPos val="l"/>
        <c:majorGridlines>
          <c:spPr>
            <a:ln w="9525" cap="flat" cmpd="sng" algn="ctr">
              <a:solidFill>
                <a:schemeClr val="tx1">
                  <a:lumMod val="50000"/>
                  <a:lumOff val="50000"/>
                </a:schemeClr>
              </a:solidFill>
              <a:round/>
            </a:ln>
            <a:effectLst/>
          </c:spPr>
        </c:majorGridlines>
        <c:numFmt formatCode="0.0,,\ &quot;M&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Century Gothic" panose="020B0502020202020204" pitchFamily="34" charset="0"/>
                <a:ea typeface="+mn-ea"/>
                <a:cs typeface="+mn-cs"/>
              </a:defRPr>
            </a:pPr>
            <a:endParaRPr lang="en-US"/>
          </a:p>
        </c:txPr>
        <c:crossAx val="48005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5400" cap="flat" cmpd="sng" algn="ctr">
      <a:solidFill>
        <a:schemeClr val="tx1">
          <a:lumMod val="65000"/>
          <a:lumOff val="35000"/>
          <a:alpha val="60000"/>
        </a:schemeClr>
      </a:solidFill>
      <a:round/>
    </a:ln>
    <a:effectLst/>
  </c:spPr>
  <c:txPr>
    <a:bodyPr/>
    <a:lstStyle/>
    <a:p>
      <a:pPr>
        <a:defRPr>
          <a:solidFill>
            <a:schemeClr val="tx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[Covid-19.xlsx]Task 1.2!PivotTable9</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r>
              <a:rPr lang="en-US" b="1"/>
              <a:t>Top 5 Countries with Highest Number of Deaths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gradFill>
            <a:gsLst>
              <a:gs pos="47000">
                <a:srgbClr val="B40000"/>
              </a:gs>
              <a:gs pos="82000">
                <a:srgbClr val="56ACD2"/>
              </a:gs>
            </a:gsLst>
            <a:lin ang="60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7000">
                <a:srgbClr val="B40000"/>
              </a:gs>
              <a:gs pos="82000">
                <a:srgbClr val="56ACD2"/>
              </a:gs>
            </a:gsLst>
            <a:lin ang="6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7000">
                <a:srgbClr val="B40000"/>
              </a:gs>
              <a:gs pos="82000">
                <a:srgbClr val="56ACD2"/>
              </a:gs>
            </a:gsLst>
            <a:lin ang="6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1.2'!$B$1</c:f>
              <c:strCache>
                <c:ptCount val="1"/>
                <c:pt idx="0">
                  <c:v>Total</c:v>
                </c:pt>
              </c:strCache>
            </c:strRef>
          </c:tx>
          <c:spPr>
            <a:gradFill>
              <a:gsLst>
                <a:gs pos="47000">
                  <a:srgbClr val="B40000"/>
                </a:gs>
                <a:gs pos="82000">
                  <a:srgbClr val="56ACD2"/>
                </a:gs>
              </a:gsLst>
              <a:lin ang="6000000" scaled="0"/>
            </a:gradFill>
            <a:ln>
              <a:noFill/>
            </a:ln>
            <a:effectLst/>
          </c:spPr>
          <c:invertIfNegative val="0"/>
          <c:cat>
            <c:strRef>
              <c:f>'Task 1.2'!$A$2:$A$6</c:f>
              <c:strCache>
                <c:ptCount val="5"/>
                <c:pt idx="0">
                  <c:v>Australia</c:v>
                </c:pt>
                <c:pt idx="1">
                  <c:v>Fiji</c:v>
                </c:pt>
                <c:pt idx="2">
                  <c:v>French Polynesia</c:v>
                </c:pt>
                <c:pt idx="3">
                  <c:v>Papua New Guinea</c:v>
                </c:pt>
                <c:pt idx="4">
                  <c:v>New Zealand</c:v>
                </c:pt>
              </c:strCache>
            </c:strRef>
          </c:cat>
          <c:val>
            <c:numRef>
              <c:f>'Task 1.2'!$B$2:$B$6</c:f>
              <c:numCache>
                <c:formatCode>#,##0</c:formatCode>
                <c:ptCount val="5"/>
                <c:pt idx="0">
                  <c:v>6384</c:v>
                </c:pt>
                <c:pt idx="1">
                  <c:v>834</c:v>
                </c:pt>
                <c:pt idx="2">
                  <c:v>646</c:v>
                </c:pt>
                <c:pt idx="3">
                  <c:v>640</c:v>
                </c:pt>
                <c:pt idx="4">
                  <c:v>350</c:v>
                </c:pt>
              </c:numCache>
            </c:numRef>
          </c:val>
          <c:extLst>
            <c:ext xmlns:c16="http://schemas.microsoft.com/office/drawing/2014/chart" uri="{C3380CC4-5D6E-409C-BE32-E72D297353CC}">
              <c16:uniqueId val="{00000000-64A6-4053-8125-8E6D161796B7}"/>
            </c:ext>
          </c:extLst>
        </c:ser>
        <c:dLbls>
          <c:showLegendKey val="0"/>
          <c:showVal val="0"/>
          <c:showCatName val="0"/>
          <c:showSerName val="0"/>
          <c:showPercent val="0"/>
          <c:showBubbleSize val="0"/>
        </c:dLbls>
        <c:gapWidth val="219"/>
        <c:overlap val="-27"/>
        <c:axId val="385674303"/>
        <c:axId val="385677663"/>
      </c:barChart>
      <c:catAx>
        <c:axId val="3856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entury Gothic" panose="020B0502020202020204" pitchFamily="34" charset="0"/>
                <a:ea typeface="+mn-ea"/>
                <a:cs typeface="+mn-cs"/>
              </a:defRPr>
            </a:pPr>
            <a:endParaRPr lang="en-US"/>
          </a:p>
        </c:txPr>
        <c:crossAx val="385677663"/>
        <c:crosses val="autoZero"/>
        <c:auto val="1"/>
        <c:lblAlgn val="ctr"/>
        <c:lblOffset val="100"/>
        <c:noMultiLvlLbl val="0"/>
      </c:catAx>
      <c:valAx>
        <c:axId val="385677663"/>
        <c:scaling>
          <c:orientation val="minMax"/>
        </c:scaling>
        <c:delete val="0"/>
        <c:axPos val="l"/>
        <c:majorGridlines>
          <c:spPr>
            <a:ln w="9525" cap="flat" cmpd="sng" algn="ctr">
              <a:solidFill>
                <a:schemeClr val="tx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Century Gothic" panose="020B0502020202020204" pitchFamily="34" charset="0"/>
                <a:ea typeface="+mn-ea"/>
                <a:cs typeface="+mn-cs"/>
              </a:defRPr>
            </a:pPr>
            <a:endParaRPr lang="en-US"/>
          </a:p>
        </c:txPr>
        <c:crossAx val="3856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5400" cap="flat" cmpd="sng" algn="ctr">
      <a:solidFill>
        <a:schemeClr val="tx1">
          <a:lumMod val="65000"/>
          <a:lumOff val="35000"/>
          <a:alpha val="60000"/>
        </a:schemeClr>
      </a:solidFill>
      <a:round/>
    </a:ln>
    <a:effectLst/>
  </c:spPr>
  <c:txPr>
    <a:bodyPr/>
    <a:lstStyle/>
    <a:p>
      <a:pPr>
        <a:defRPr>
          <a:solidFill>
            <a:schemeClr val="tx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[Covid-19.xlsx]Task 3!PivotTable6</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r>
              <a:rPr lang="en-US" b="1"/>
              <a:t>Top 3 Countries with Highest Death Percentage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gradFill>
            <a:gsLst>
              <a:gs pos="47000">
                <a:srgbClr val="B40000"/>
              </a:gs>
              <a:gs pos="82000">
                <a:srgbClr val="56ACD2"/>
              </a:gs>
            </a:gsLst>
            <a:lin ang="108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7000">
                <a:srgbClr val="B40000"/>
              </a:gs>
              <a:gs pos="82000">
                <a:srgbClr val="56ACD2"/>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7000">
                <a:srgbClr val="B40000"/>
              </a:gs>
              <a:gs pos="82000">
                <a:srgbClr val="56ACD2"/>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3'!$B$3</c:f>
              <c:strCache>
                <c:ptCount val="1"/>
                <c:pt idx="0">
                  <c:v>Total</c:v>
                </c:pt>
              </c:strCache>
            </c:strRef>
          </c:tx>
          <c:spPr>
            <a:gradFill>
              <a:gsLst>
                <a:gs pos="47000">
                  <a:srgbClr val="B40000"/>
                </a:gs>
                <a:gs pos="82000">
                  <a:srgbClr val="56ACD2"/>
                </a:gs>
              </a:gsLst>
              <a:lin ang="10800000" scaled="0"/>
            </a:gradFill>
            <a:ln>
              <a:noFill/>
            </a:ln>
            <a:effectLst/>
          </c:spPr>
          <c:invertIfNegative val="0"/>
          <c:cat>
            <c:strRef>
              <c:f>'Task 3'!$A$4:$A$6</c:f>
              <c:strCache>
                <c:ptCount val="3"/>
                <c:pt idx="0">
                  <c:v>Fiji</c:v>
                </c:pt>
                <c:pt idx="1">
                  <c:v>Papua New Guinea</c:v>
                </c:pt>
                <c:pt idx="2">
                  <c:v>Wallis and Futuna</c:v>
                </c:pt>
              </c:strCache>
            </c:strRef>
          </c:cat>
          <c:val>
            <c:numRef>
              <c:f>'Task 3'!$B$4:$B$6</c:f>
              <c:numCache>
                <c:formatCode>0.00%</c:formatCode>
                <c:ptCount val="3"/>
                <c:pt idx="0">
                  <c:v>1.2945888050665922E-2</c:v>
                </c:pt>
                <c:pt idx="1">
                  <c:v>1.5164798710992109E-2</c:v>
                </c:pt>
                <c:pt idx="2">
                  <c:v>1.5418502202643172E-2</c:v>
                </c:pt>
              </c:numCache>
            </c:numRef>
          </c:val>
          <c:extLst>
            <c:ext xmlns:c16="http://schemas.microsoft.com/office/drawing/2014/chart" uri="{C3380CC4-5D6E-409C-BE32-E72D297353CC}">
              <c16:uniqueId val="{00000000-41D1-4DEF-B6B8-D27A43345593}"/>
            </c:ext>
          </c:extLst>
        </c:ser>
        <c:dLbls>
          <c:showLegendKey val="0"/>
          <c:showVal val="0"/>
          <c:showCatName val="0"/>
          <c:showSerName val="0"/>
          <c:showPercent val="0"/>
          <c:showBubbleSize val="0"/>
        </c:dLbls>
        <c:gapWidth val="182"/>
        <c:axId val="608146623"/>
        <c:axId val="608137503"/>
      </c:barChart>
      <c:catAx>
        <c:axId val="60814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entury Gothic" panose="020B0502020202020204" pitchFamily="34" charset="0"/>
                <a:ea typeface="+mn-ea"/>
                <a:cs typeface="+mn-cs"/>
              </a:defRPr>
            </a:pPr>
            <a:endParaRPr lang="en-US"/>
          </a:p>
        </c:txPr>
        <c:crossAx val="608137503"/>
        <c:crosses val="autoZero"/>
        <c:auto val="1"/>
        <c:lblAlgn val="ctr"/>
        <c:lblOffset val="100"/>
        <c:noMultiLvlLbl val="0"/>
      </c:catAx>
      <c:valAx>
        <c:axId val="608137503"/>
        <c:scaling>
          <c:orientation val="minMax"/>
        </c:scaling>
        <c:delete val="0"/>
        <c:axPos val="b"/>
        <c:majorGridlines>
          <c:spPr>
            <a:ln w="9525" cap="flat" cmpd="sng" algn="ctr">
              <a:solidFill>
                <a:schemeClr val="tx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Century Gothic" panose="020B0502020202020204" pitchFamily="34" charset="0"/>
                <a:ea typeface="+mn-ea"/>
                <a:cs typeface="+mn-cs"/>
              </a:defRPr>
            </a:pPr>
            <a:endParaRPr lang="en-US"/>
          </a:p>
        </c:txPr>
        <c:crossAx val="60814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5400" cap="flat" cmpd="sng" algn="ctr">
      <a:solidFill>
        <a:schemeClr val="tx1">
          <a:lumMod val="65000"/>
          <a:lumOff val="35000"/>
          <a:alpha val="60000"/>
        </a:schemeClr>
      </a:solidFill>
      <a:round/>
    </a:ln>
    <a:effectLst/>
  </c:spPr>
  <c:txPr>
    <a:bodyPr/>
    <a:lstStyle/>
    <a:p>
      <a:pPr>
        <a:defRPr>
          <a:solidFill>
            <a:schemeClr val="tx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[Covid-19.xlsx]task 2.2!PivotTable1</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Century Gothic" panose="020B0502020202020204" pitchFamily="34" charset="0"/>
                <a:ea typeface="+mn-ea"/>
                <a:cs typeface="+mn-cs"/>
              </a:defRPr>
            </a:pPr>
            <a:r>
              <a:rPr lang="en-US" sz="1600" b="1"/>
              <a:t>Total Deaths by Continent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schemeClr>
          </a:solidFill>
          <a:ln w="19050">
            <a:noFill/>
          </a:ln>
          <a:effectLst/>
        </c:spPr>
      </c:pivotFmt>
      <c:pivotFmt>
        <c:idx val="2"/>
        <c:spPr>
          <a:solidFill>
            <a:schemeClr val="accent2"/>
          </a:solidFill>
          <a:ln w="19050">
            <a:noFill/>
          </a:ln>
          <a:effectLst/>
        </c:spPr>
      </c:pivotFmt>
      <c:pivotFmt>
        <c:idx val="3"/>
        <c:spPr>
          <a:solidFill>
            <a:srgbClr val="FF4747"/>
          </a:solidFill>
          <a:ln w="19050">
            <a:noFill/>
          </a:ln>
          <a:effectLst/>
        </c:spPr>
      </c:pivotFmt>
      <c:pivotFmt>
        <c:idx val="4"/>
        <c:spPr>
          <a:solidFill>
            <a:schemeClr val="accent4"/>
          </a:solidFill>
          <a:ln w="19050">
            <a:noFill/>
          </a:ln>
          <a:effectLst/>
        </c:spPr>
      </c:pivotFmt>
      <c:pivotFmt>
        <c:idx val="5"/>
        <c:spPr>
          <a:solidFill>
            <a:schemeClr val="accent6">
              <a:lumMod val="75000"/>
            </a:schemeClr>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noFill/>
          </a:ln>
          <a:effectLst/>
        </c:spPr>
      </c:pivotFmt>
      <c:pivotFmt>
        <c:idx val="8"/>
        <c:spPr>
          <a:solidFill>
            <a:schemeClr val="accent4"/>
          </a:solidFill>
          <a:ln w="19050">
            <a:noFill/>
          </a:ln>
          <a:effectLst/>
        </c:spPr>
      </c:pivotFmt>
      <c:pivotFmt>
        <c:idx val="9"/>
        <c:spPr>
          <a:solidFill>
            <a:schemeClr val="accent2"/>
          </a:solidFill>
          <a:ln w="19050">
            <a:noFill/>
          </a:ln>
          <a:effectLst/>
        </c:spPr>
      </c:pivotFmt>
      <c:pivotFmt>
        <c:idx val="10"/>
        <c:spPr>
          <a:solidFill>
            <a:srgbClr val="FF4747"/>
          </a:solidFill>
          <a:ln w="19050">
            <a:noFill/>
          </a:ln>
          <a:effectLst/>
        </c:spPr>
      </c:pivotFmt>
      <c:pivotFmt>
        <c:idx val="11"/>
        <c:spPr>
          <a:solidFill>
            <a:schemeClr val="accent1"/>
          </a:solidFill>
          <a:ln w="19050">
            <a:noFill/>
          </a:ln>
          <a:effectLst/>
        </c:spPr>
      </c:pivotFmt>
      <c:pivotFmt>
        <c:idx val="12"/>
        <c:spPr>
          <a:solidFill>
            <a:schemeClr val="accent6">
              <a:lumMod val="75000"/>
            </a:schemeClr>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lumMod val="65000"/>
              <a:lumOff val="35000"/>
            </a:schemeClr>
          </a:solidFill>
          <a:ln w="19050">
            <a:noFill/>
          </a:ln>
          <a:effectLst/>
        </c:spPr>
      </c:pivotFmt>
      <c:pivotFmt>
        <c:idx val="15"/>
        <c:spPr>
          <a:solidFill>
            <a:schemeClr val="accent4"/>
          </a:solidFill>
          <a:ln w="19050">
            <a:noFill/>
          </a:ln>
          <a:effectLst/>
        </c:spPr>
      </c:pivotFmt>
      <c:pivotFmt>
        <c:idx val="16"/>
        <c:spPr>
          <a:solidFill>
            <a:schemeClr val="accent2"/>
          </a:solidFill>
          <a:ln w="19050">
            <a:noFill/>
          </a:ln>
          <a:effectLst/>
        </c:spPr>
      </c:pivotFmt>
      <c:pivotFmt>
        <c:idx val="17"/>
        <c:spPr>
          <a:solidFill>
            <a:srgbClr val="FF4747"/>
          </a:solidFill>
          <a:ln w="19050">
            <a:noFill/>
          </a:ln>
          <a:effectLst/>
        </c:spPr>
      </c:pivotFmt>
      <c:pivotFmt>
        <c:idx val="18"/>
        <c:spPr>
          <a:solidFill>
            <a:schemeClr val="accent1"/>
          </a:solidFill>
          <a:ln w="19050">
            <a:noFill/>
          </a:ln>
          <a:effectLst/>
        </c:spPr>
      </c:pivotFmt>
      <c:pivotFmt>
        <c:idx val="19"/>
        <c:spPr>
          <a:solidFill>
            <a:schemeClr val="accent6">
              <a:lumMod val="75000"/>
            </a:schemeClr>
          </a:solidFill>
          <a:ln w="19050">
            <a:noFill/>
          </a:ln>
          <a:effectLst/>
        </c:spPr>
      </c:pivotFmt>
    </c:pivotFmts>
    <c:plotArea>
      <c:layout/>
      <c:pieChart>
        <c:varyColors val="1"/>
        <c:ser>
          <c:idx val="0"/>
          <c:order val="0"/>
          <c:tx>
            <c:strRef>
              <c:f>'task 2.2'!$B$3</c:f>
              <c:strCache>
                <c:ptCount val="1"/>
                <c:pt idx="0">
                  <c:v>Total</c:v>
                </c:pt>
              </c:strCache>
            </c:strRef>
          </c:tx>
          <c:spPr>
            <a:ln>
              <a:noFill/>
            </a:ln>
          </c:spPr>
          <c:dPt>
            <c:idx val="0"/>
            <c:bubble3D val="0"/>
            <c:explosion val="3"/>
            <c:spPr>
              <a:solidFill>
                <a:schemeClr val="accent1"/>
              </a:solidFill>
              <a:ln w="19050">
                <a:noFill/>
              </a:ln>
              <a:effectLst/>
            </c:spPr>
            <c:extLst>
              <c:ext xmlns:c16="http://schemas.microsoft.com/office/drawing/2014/chart" uri="{C3380CC4-5D6E-409C-BE32-E72D297353CC}">
                <c16:uniqueId val="{00000001-FF3F-414E-A48E-D3BAB1774F89}"/>
              </c:ext>
            </c:extLst>
          </c:dPt>
          <c:dPt>
            <c:idx val="1"/>
            <c:bubble3D val="0"/>
            <c:explosion val="2"/>
            <c:spPr>
              <a:solidFill>
                <a:schemeClr val="accent2"/>
              </a:solidFill>
              <a:ln w="19050">
                <a:noFill/>
              </a:ln>
              <a:effectLst/>
            </c:spPr>
            <c:extLst>
              <c:ext xmlns:c16="http://schemas.microsoft.com/office/drawing/2014/chart" uri="{C3380CC4-5D6E-409C-BE32-E72D297353CC}">
                <c16:uniqueId val="{00000003-FF3F-414E-A48E-D3BAB1774F89}"/>
              </c:ext>
            </c:extLst>
          </c:dPt>
          <c:dPt>
            <c:idx val="2"/>
            <c:bubble3D val="0"/>
            <c:explosion val="2"/>
            <c:spPr>
              <a:solidFill>
                <a:schemeClr val="accent3"/>
              </a:solidFill>
              <a:ln w="19050">
                <a:noFill/>
              </a:ln>
              <a:effectLst/>
            </c:spPr>
            <c:extLst>
              <c:ext xmlns:c16="http://schemas.microsoft.com/office/drawing/2014/chart" uri="{C3380CC4-5D6E-409C-BE32-E72D297353CC}">
                <c16:uniqueId val="{00000005-FF3F-414E-A48E-D3BAB1774F89}"/>
              </c:ext>
            </c:extLst>
          </c:dPt>
          <c:dPt>
            <c:idx val="3"/>
            <c:bubble3D val="0"/>
            <c:explosion val="2"/>
            <c:spPr>
              <a:solidFill>
                <a:schemeClr val="accent4"/>
              </a:solidFill>
              <a:ln w="19050">
                <a:noFill/>
              </a:ln>
              <a:effectLst/>
            </c:spPr>
            <c:extLst>
              <c:ext xmlns:c16="http://schemas.microsoft.com/office/drawing/2014/chart" uri="{C3380CC4-5D6E-409C-BE32-E72D297353CC}">
                <c16:uniqueId val="{00000007-FF3F-414E-A48E-D3BAB1774F89}"/>
              </c:ext>
            </c:extLst>
          </c:dPt>
          <c:dPt>
            <c:idx val="4"/>
            <c:bubble3D val="0"/>
            <c:explosion val="2"/>
            <c:spPr>
              <a:solidFill>
                <a:schemeClr val="accent5"/>
              </a:solidFill>
              <a:ln w="19050">
                <a:noFill/>
              </a:ln>
              <a:effectLst/>
            </c:spPr>
            <c:extLst>
              <c:ext xmlns:c16="http://schemas.microsoft.com/office/drawing/2014/chart" uri="{C3380CC4-5D6E-409C-BE32-E72D297353CC}">
                <c16:uniqueId val="{00000009-FF3F-414E-A48E-D3BAB1774F89}"/>
              </c:ext>
            </c:extLst>
          </c:dPt>
          <c:dPt>
            <c:idx val="5"/>
            <c:bubble3D val="0"/>
            <c:explosion val="9"/>
            <c:spPr>
              <a:solidFill>
                <a:schemeClr val="accent6"/>
              </a:solidFill>
              <a:ln w="19050">
                <a:noFill/>
              </a:ln>
              <a:effectLst/>
            </c:spPr>
            <c:extLst>
              <c:ext xmlns:c16="http://schemas.microsoft.com/office/drawing/2014/chart" uri="{C3380CC4-5D6E-409C-BE32-E72D297353CC}">
                <c16:uniqueId val="{0000000B-FF3F-414E-A48E-D3BAB1774F89}"/>
              </c:ext>
            </c:extLst>
          </c:dPt>
          <c:cat>
            <c:strRef>
              <c:f>'task 2.2'!$A$4</c:f>
              <c:strCache>
                <c:ptCount val="1"/>
                <c:pt idx="0">
                  <c:v>Oceania</c:v>
                </c:pt>
              </c:strCache>
            </c:strRef>
          </c:cat>
          <c:val>
            <c:numRef>
              <c:f>'task 2.2'!$B$4</c:f>
              <c:numCache>
                <c:formatCode>#,##0</c:formatCode>
                <c:ptCount val="1"/>
                <c:pt idx="0">
                  <c:v>9336</c:v>
                </c:pt>
              </c:numCache>
            </c:numRef>
          </c:val>
          <c:extLst>
            <c:ext xmlns:c16="http://schemas.microsoft.com/office/drawing/2014/chart" uri="{C3380CC4-5D6E-409C-BE32-E72D297353CC}">
              <c16:uniqueId val="{0000000C-FF3F-414E-A48E-D3BAB1774F89}"/>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1.3325930038867296E-2"/>
          <c:y val="0.22741204514651339"/>
          <c:w val="0.29161471973138281"/>
          <c:h val="0.7293532904738219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25400" cap="flat" cmpd="sng" algn="ctr">
      <a:solidFill>
        <a:schemeClr val="tx1">
          <a:lumMod val="65000"/>
          <a:lumOff val="35000"/>
          <a:alpha val="60000"/>
        </a:schemeClr>
      </a:solidFill>
      <a:round/>
    </a:ln>
    <a:effectLst/>
  </c:spPr>
  <c:txPr>
    <a:bodyPr/>
    <a:lstStyle/>
    <a:p>
      <a:pPr>
        <a:defRPr>
          <a:solidFill>
            <a:schemeClr val="tx1"/>
          </a:solidFill>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7</xdr:col>
      <xdr:colOff>377933</xdr:colOff>
      <xdr:row>0</xdr:row>
      <xdr:rowOff>0</xdr:rowOff>
    </xdr:from>
    <xdr:to>
      <xdr:col>14</xdr:col>
      <xdr:colOff>47517</xdr:colOff>
      <xdr:row>3</xdr:row>
      <xdr:rowOff>146966</xdr:rowOff>
    </xdr:to>
    <xdr:sp macro="" textlink="">
      <xdr:nvSpPr>
        <xdr:cNvPr id="2" name="Rectangle 1">
          <a:extLst>
            <a:ext uri="{FF2B5EF4-FFF2-40B4-BE49-F238E27FC236}">
              <a16:creationId xmlns:a16="http://schemas.microsoft.com/office/drawing/2014/main" id="{BE9B5D9A-7B51-D3B8-EC1E-126E36E32AB2}"/>
            </a:ext>
          </a:extLst>
        </xdr:cNvPr>
        <xdr:cNvSpPr/>
      </xdr:nvSpPr>
      <xdr:spPr>
        <a:xfrm>
          <a:off x="6143733" y="0"/>
          <a:ext cx="4317784" cy="718466"/>
        </a:xfrm>
        <a:prstGeom prst="rect">
          <a:avLst/>
        </a:prstGeom>
        <a:noFill/>
      </xdr:spPr>
      <xdr:txBody>
        <a:bodyPr wrap="none" lIns="91440" tIns="45720" rIns="91440" bIns="45720">
          <a:spAutoFit/>
        </a:bodyPr>
        <a:lstStyle/>
        <a:p>
          <a:pPr algn="ctr"/>
          <a:r>
            <a:rPr lang="en-US" sz="4000" b="0" cap="none" spc="0">
              <a:ln w="0"/>
              <a:solidFill>
                <a:srgbClr val="D20000"/>
              </a:solidFill>
              <a:effectLst>
                <a:outerShdw blurRad="38100" dist="25400" dir="5400000" algn="ctr" rotWithShape="0">
                  <a:srgbClr val="6E747A">
                    <a:alpha val="43000"/>
                  </a:srgbClr>
                </a:outerShdw>
              </a:effectLst>
            </a:rPr>
            <a:t>COVID-19</a:t>
          </a:r>
          <a:r>
            <a:rPr lang="en-US" sz="4000" b="0" cap="none" spc="0" baseline="0">
              <a:ln w="0"/>
              <a:solidFill>
                <a:srgbClr val="D20000"/>
              </a:solidFill>
              <a:effectLst>
                <a:outerShdw blurRad="38100" dist="25400" dir="5400000" algn="ctr" rotWithShape="0">
                  <a:srgbClr val="6E747A">
                    <a:alpha val="43000"/>
                  </a:srgbClr>
                </a:outerShdw>
              </a:effectLst>
            </a:rPr>
            <a:t> ANALYSIS</a:t>
          </a:r>
          <a:endParaRPr lang="en-US" sz="4000" b="0" cap="none" spc="0">
            <a:ln w="0"/>
            <a:solidFill>
              <a:srgbClr val="D20000"/>
            </a:solidFill>
            <a:effectLst>
              <a:outerShdw blurRad="38100" dist="25400" dir="5400000" algn="ctr" rotWithShape="0">
                <a:srgbClr val="6E747A">
                  <a:alpha val="43000"/>
                </a:srgbClr>
              </a:outerShdw>
            </a:effectLst>
          </a:endParaRPr>
        </a:p>
      </xdr:txBody>
    </xdr:sp>
    <xdr:clientData/>
  </xdr:twoCellAnchor>
  <xdr:twoCellAnchor editAs="absolute">
    <xdr:from>
      <xdr:col>14</xdr:col>
      <xdr:colOff>57150</xdr:colOff>
      <xdr:row>0</xdr:row>
      <xdr:rowOff>0</xdr:rowOff>
    </xdr:from>
    <xdr:to>
      <xdr:col>15</xdr:col>
      <xdr:colOff>66675</xdr:colOff>
      <xdr:row>3</xdr:row>
      <xdr:rowOff>47625</xdr:rowOff>
    </xdr:to>
    <xdr:pic>
      <xdr:nvPicPr>
        <xdr:cNvPr id="7" name="Picture 6">
          <a:extLst>
            <a:ext uri="{FF2B5EF4-FFF2-40B4-BE49-F238E27FC236}">
              <a16:creationId xmlns:a16="http://schemas.microsoft.com/office/drawing/2014/main" id="{C5629FDC-EE4E-4631-A52B-DF41F37D4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1150" y="0"/>
          <a:ext cx="619125" cy="619125"/>
        </a:xfrm>
        <a:prstGeom prst="rect">
          <a:avLst/>
        </a:prstGeom>
      </xdr:spPr>
    </xdr:pic>
    <xdr:clientData/>
  </xdr:twoCellAnchor>
  <xdr:twoCellAnchor editAs="absolute">
    <xdr:from>
      <xdr:col>6</xdr:col>
      <xdr:colOff>609600</xdr:colOff>
      <xdr:row>0</xdr:row>
      <xdr:rowOff>0</xdr:rowOff>
    </xdr:from>
    <xdr:to>
      <xdr:col>7</xdr:col>
      <xdr:colOff>365125</xdr:colOff>
      <xdr:row>3</xdr:row>
      <xdr:rowOff>47625</xdr:rowOff>
    </xdr:to>
    <xdr:pic>
      <xdr:nvPicPr>
        <xdr:cNvPr id="44" name="Picture 43">
          <a:extLst>
            <a:ext uri="{FF2B5EF4-FFF2-40B4-BE49-F238E27FC236}">
              <a16:creationId xmlns:a16="http://schemas.microsoft.com/office/drawing/2014/main" id="{0055F83C-1675-4F67-9DC7-5F07EC8911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11800" y="0"/>
          <a:ext cx="619125" cy="619125"/>
        </a:xfrm>
        <a:prstGeom prst="rect">
          <a:avLst/>
        </a:prstGeom>
      </xdr:spPr>
    </xdr:pic>
    <xdr:clientData/>
  </xdr:twoCellAnchor>
  <xdr:twoCellAnchor editAs="absolute">
    <xdr:from>
      <xdr:col>0</xdr:col>
      <xdr:colOff>0</xdr:colOff>
      <xdr:row>24</xdr:row>
      <xdr:rowOff>142875</xdr:rowOff>
    </xdr:from>
    <xdr:to>
      <xdr:col>6</xdr:col>
      <xdr:colOff>368300</xdr:colOff>
      <xdr:row>40</xdr:row>
      <xdr:rowOff>38100</xdr:rowOff>
    </xdr:to>
    <xdr:graphicFrame macro="">
      <xdr:nvGraphicFramePr>
        <xdr:cNvPr id="46" name="Chart 45">
          <a:extLst>
            <a:ext uri="{FF2B5EF4-FFF2-40B4-BE49-F238E27FC236}">
              <a16:creationId xmlns:a16="http://schemas.microsoft.com/office/drawing/2014/main" id="{A37FDF1E-1B2D-4B34-8624-49C77D9F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161924</xdr:colOff>
      <xdr:row>27</xdr:row>
      <xdr:rowOff>88388</xdr:rowOff>
    </xdr:from>
    <xdr:to>
      <xdr:col>14</xdr:col>
      <xdr:colOff>25400</xdr:colOff>
      <xdr:row>38</xdr:row>
      <xdr:rowOff>9013</xdr:rowOff>
    </xdr:to>
    <xdr:graphicFrame macro="">
      <xdr:nvGraphicFramePr>
        <xdr:cNvPr id="49" name="Chart 48">
          <a:extLst>
            <a:ext uri="{FF2B5EF4-FFF2-40B4-BE49-F238E27FC236}">
              <a16:creationId xmlns:a16="http://schemas.microsoft.com/office/drawing/2014/main" id="{9150E2A5-2A32-4CF1-AAD5-ABBA96044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333375</xdr:colOff>
      <xdr:row>4</xdr:row>
      <xdr:rowOff>180975</xdr:rowOff>
    </xdr:from>
    <xdr:to>
      <xdr:col>3</xdr:col>
      <xdr:colOff>723900</xdr:colOff>
      <xdr:row>10</xdr:row>
      <xdr:rowOff>76200</xdr:rowOff>
    </xdr:to>
    <xdr:sp macro="" textlink="">
      <xdr:nvSpPr>
        <xdr:cNvPr id="50" name="Rectangle: Rounded Corners 49">
          <a:extLst>
            <a:ext uri="{FF2B5EF4-FFF2-40B4-BE49-F238E27FC236}">
              <a16:creationId xmlns:a16="http://schemas.microsoft.com/office/drawing/2014/main" id="{C55D71FD-91B5-2B14-935B-8218149A70E0}"/>
            </a:ext>
          </a:extLst>
        </xdr:cNvPr>
        <xdr:cNvSpPr/>
      </xdr:nvSpPr>
      <xdr:spPr>
        <a:xfrm>
          <a:off x="333375" y="942975"/>
          <a:ext cx="2727325" cy="1038225"/>
        </a:xfrm>
        <a:prstGeom prst="roundRect">
          <a:avLst/>
        </a:prstGeom>
        <a:solidFill>
          <a:schemeClr val="bg1">
            <a:lumMod val="75000"/>
          </a:schemeClr>
        </a:solidFill>
        <a:ln w="25400">
          <a:solidFill>
            <a:schemeClr val="tx1">
              <a:lumMod val="65000"/>
              <a:lumOff val="35000"/>
              <a:alpha val="5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Century Gothic" panose="020B0502020202020204" pitchFamily="34" charset="0"/>
            </a:rPr>
            <a:t>Total Cases</a:t>
          </a:r>
        </a:p>
        <a:p>
          <a:pPr algn="ctr"/>
          <a:r>
            <a:rPr lang="en-US" sz="2000" b="1">
              <a:solidFill>
                <a:srgbClr val="FF0000"/>
              </a:solidFill>
              <a:latin typeface="Century Gothic" panose="020B0502020202020204" pitchFamily="34" charset="0"/>
            </a:rPr>
            <a:t>491,575,827</a:t>
          </a:r>
        </a:p>
      </xdr:txBody>
    </xdr:sp>
    <xdr:clientData/>
  </xdr:twoCellAnchor>
  <xdr:twoCellAnchor editAs="absolute">
    <xdr:from>
      <xdr:col>19</xdr:col>
      <xdr:colOff>127000</xdr:colOff>
      <xdr:row>4</xdr:row>
      <xdr:rowOff>152399</xdr:rowOff>
    </xdr:from>
    <xdr:to>
      <xdr:col>23</xdr:col>
      <xdr:colOff>403225</xdr:colOff>
      <xdr:row>10</xdr:row>
      <xdr:rowOff>28574</xdr:rowOff>
    </xdr:to>
    <xdr:sp macro="" textlink="">
      <xdr:nvSpPr>
        <xdr:cNvPr id="51" name="Rectangle: Rounded Corners 50">
          <a:extLst>
            <a:ext uri="{FF2B5EF4-FFF2-40B4-BE49-F238E27FC236}">
              <a16:creationId xmlns:a16="http://schemas.microsoft.com/office/drawing/2014/main" id="{97A9BE40-E715-4F7F-8BDA-0AC26B910237}"/>
            </a:ext>
          </a:extLst>
        </xdr:cNvPr>
        <xdr:cNvSpPr/>
      </xdr:nvSpPr>
      <xdr:spPr>
        <a:xfrm>
          <a:off x="13589000" y="914399"/>
          <a:ext cx="2714625" cy="1019175"/>
        </a:xfrm>
        <a:prstGeom prst="roundRect">
          <a:avLst/>
        </a:prstGeom>
        <a:solidFill>
          <a:schemeClr val="bg1">
            <a:lumMod val="75000"/>
          </a:schemeClr>
        </a:solidFill>
        <a:ln w="25400">
          <a:solidFill>
            <a:schemeClr val="tx1">
              <a:lumMod val="65000"/>
              <a:lumOff val="35000"/>
              <a:alpha val="5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latin typeface="Century Gothic" panose="020B0502020202020204" pitchFamily="34" charset="0"/>
            </a:rPr>
            <a:t>Total Deaths</a:t>
          </a:r>
        </a:p>
        <a:p>
          <a:pPr algn="ctr"/>
          <a:r>
            <a:rPr lang="en-US" sz="2000" b="1">
              <a:solidFill>
                <a:srgbClr val="FF0000"/>
              </a:solidFill>
              <a:latin typeface="Century Gothic" panose="020B0502020202020204" pitchFamily="34" charset="0"/>
            </a:rPr>
            <a:t>6,175,829</a:t>
          </a:r>
        </a:p>
      </xdr:txBody>
    </xdr:sp>
    <xdr:clientData/>
  </xdr:twoCellAnchor>
  <xdr:twoCellAnchor editAs="absolute">
    <xdr:from>
      <xdr:col>5</xdr:col>
      <xdr:colOff>252942</xdr:colOff>
      <xdr:row>4</xdr:row>
      <xdr:rowOff>42334</xdr:rowOff>
    </xdr:from>
    <xdr:to>
      <xdr:col>17</xdr:col>
      <xdr:colOff>25400</xdr:colOff>
      <xdr:row>10</xdr:row>
      <xdr:rowOff>67733</xdr:rowOff>
    </xdr:to>
    <mc:AlternateContent xmlns:mc="http://schemas.openxmlformats.org/markup-compatibility/2006">
      <mc:Choice xmlns:a14="http://schemas.microsoft.com/office/drawing/2010/main" Requires="a14">
        <xdr:graphicFrame macro="">
          <xdr:nvGraphicFramePr>
            <xdr:cNvPr id="52" name="Continent">
              <a:extLst>
                <a:ext uri="{FF2B5EF4-FFF2-40B4-BE49-F238E27FC236}">
                  <a16:creationId xmlns:a16="http://schemas.microsoft.com/office/drawing/2014/main" id="{9FF850F2-D2E6-F2F0-DA70-90750555099D}"/>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4510565" y="791842"/>
              <a:ext cx="8141966" cy="1149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11</xdr:row>
      <xdr:rowOff>12700</xdr:rowOff>
    </xdr:from>
    <xdr:to>
      <xdr:col>6</xdr:col>
      <xdr:colOff>381000</xdr:colOff>
      <xdr:row>24</xdr:row>
      <xdr:rowOff>48558</xdr:rowOff>
    </xdr:to>
    <xdr:graphicFrame macro="">
      <xdr:nvGraphicFramePr>
        <xdr:cNvPr id="54" name="Chart 53">
          <a:extLst>
            <a:ext uri="{FF2B5EF4-FFF2-40B4-BE49-F238E27FC236}">
              <a16:creationId xmlns:a16="http://schemas.microsoft.com/office/drawing/2014/main" id="{A14FE799-E00C-494D-8E7A-07DC96B6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28464</xdr:colOff>
      <xdr:row>10</xdr:row>
      <xdr:rowOff>165100</xdr:rowOff>
    </xdr:from>
    <xdr:to>
      <xdr:col>24</xdr:col>
      <xdr:colOff>266700</xdr:colOff>
      <xdr:row>23</xdr:row>
      <xdr:rowOff>157913</xdr:rowOff>
    </xdr:to>
    <xdr:graphicFrame macro="">
      <xdr:nvGraphicFramePr>
        <xdr:cNvPr id="55" name="Chart 54">
          <a:extLst>
            <a:ext uri="{FF2B5EF4-FFF2-40B4-BE49-F238E27FC236}">
              <a16:creationId xmlns:a16="http://schemas.microsoft.com/office/drawing/2014/main" id="{61DB2654-CB35-4200-9A3D-0699AC04D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673100</xdr:colOff>
      <xdr:row>12</xdr:row>
      <xdr:rowOff>103480</xdr:rowOff>
    </xdr:from>
    <xdr:to>
      <xdr:col>14</xdr:col>
      <xdr:colOff>342899</xdr:colOff>
      <xdr:row>26</xdr:row>
      <xdr:rowOff>84803</xdr:rowOff>
    </xdr:to>
    <xdr:graphicFrame macro="">
      <xdr:nvGraphicFramePr>
        <xdr:cNvPr id="56" name="Chart 55">
          <a:extLst>
            <a:ext uri="{FF2B5EF4-FFF2-40B4-BE49-F238E27FC236}">
              <a16:creationId xmlns:a16="http://schemas.microsoft.com/office/drawing/2014/main" id="{0C615D5D-3B9B-4311-989B-118DDE452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15</xdr:col>
      <xdr:colOff>38100</xdr:colOff>
      <xdr:row>24</xdr:row>
      <xdr:rowOff>50801</xdr:rowOff>
    </xdr:from>
    <xdr:to>
      <xdr:col>24</xdr:col>
      <xdr:colOff>269875</xdr:colOff>
      <xdr:row>40</xdr:row>
      <xdr:rowOff>50801</xdr:rowOff>
    </xdr:to>
    <xdr:graphicFrame macro="">
      <xdr:nvGraphicFramePr>
        <xdr:cNvPr id="4" name="Chart 3">
          <a:extLst>
            <a:ext uri="{FF2B5EF4-FFF2-40B4-BE49-F238E27FC236}">
              <a16:creationId xmlns:a16="http://schemas.microsoft.com/office/drawing/2014/main" id="{6B926C4E-4FA8-49A5-9C8D-84EFA40BD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421.886571064817" createdVersion="8" refreshedVersion="8" minRefreshableVersion="3" recordCount="225" xr:uid="{E2F8AEA9-B77A-4077-8919-28C4769E411C}">
  <cacheSource type="worksheet">
    <worksheetSource name="COVID_19_Coronavirus"/>
  </cacheSource>
  <cacheFields count="9">
    <cacheField name="Country" numFmtId="0">
      <sharedItems count="228">
        <s v="Afghanistan"/>
        <s v="Albania"/>
        <s v="Algeria"/>
        <s v="Andorra"/>
        <s v="Angola"/>
        <s v="Anguil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
        <s v="Bulgaria"/>
        <s v="Burkina Faso"/>
        <s v="Burundi"/>
        <s v="Cabo Verde"/>
        <s v="Cambodia"/>
        <s v="Cameroon"/>
        <s v="Canada"/>
        <s v="CAR"/>
        <s v="Caribbean Netherlands"/>
        <s v="Cayman Islands"/>
        <s v="Chad"/>
        <s v="Channel Islands"/>
        <s v="Chile"/>
        <s v="China"/>
        <s v="Colombia"/>
        <s v="Comoros"/>
        <s v="Congo"/>
        <s v="Cook Islands"/>
        <s v="Costa Rica"/>
        <s v="Croatia"/>
        <s v="Cuba"/>
        <s v="CuraÃ§ao"/>
        <s v="Cyprus"/>
        <s v="Czechia"/>
        <s v="Denmark"/>
        <s v="Djibouti"/>
        <s v="Dominica"/>
        <s v="Dominican Republic"/>
        <s v="Democratic Republic of the Congo"/>
        <s v="Ecuador"/>
        <s v="Egypt"/>
        <s v="El Salvador"/>
        <s v="Equatorial Guinea"/>
        <s v="Eritrea"/>
        <s v="Estonia"/>
        <s v="Eswatini"/>
        <s v="Ethiopia"/>
        <s v="Faeroe Islands"/>
        <s v="Falkland Islands"/>
        <s v="Fiji"/>
        <s v="Finland"/>
        <s v="France"/>
        <s v="French Guiana"/>
        <s v="French Polynesia"/>
        <s v="Gabon"/>
        <s v="Gambia"/>
        <s v="Georgia"/>
        <s v="Germany"/>
        <s v="Ghana"/>
        <s v="Gibraltar"/>
        <s v="Greece"/>
        <s v="Greenland"/>
        <s v="Grenada"/>
        <s v="Guadeloupe"/>
        <s v="Guatemala"/>
        <s v="Guinea"/>
        <s v="Guinea-Bissau"/>
        <s v="Guyana"/>
        <s v="Haiti"/>
        <s v="Honduras"/>
        <s v="Hong Kong"/>
        <s v="Hungary"/>
        <s v="Iceland"/>
        <s v="India"/>
        <s v="Indonesia"/>
        <s v="Iran"/>
        <s v="Iraq"/>
        <s v="Ireland"/>
        <s v="Isle of Man"/>
        <s v="Israel"/>
        <s v="Italy"/>
        <s v="Ivory Coast"/>
        <s v="Jamaica"/>
        <s v="Japan"/>
        <s v="Jordan"/>
        <s v="Kazakhstan"/>
        <s v="Kenya"/>
        <s v="Kiribati"/>
        <s v="Kuwait"/>
        <s v="Kyrgyzstan"/>
        <s v="Laos"/>
        <s v="Latvia"/>
        <s v="Lebanon"/>
        <s v="Lesotho"/>
        <s v="Liberia"/>
        <s v="Libya"/>
        <s v="Liechtenstein"/>
        <s v="Lithuania"/>
        <s v="Luxembourg"/>
        <s v="Macao"/>
        <s v="Madagascar"/>
        <s v="Malawi"/>
        <s v="Malaysia"/>
        <s v="Maldives"/>
        <s v="Mali"/>
        <s v="Malta"/>
        <s v="Marshall Islands"/>
        <s v="Martinique"/>
        <s v="Mauritania"/>
        <s v="Mauritius"/>
        <s v="Mayotte"/>
        <s v="Mexico"/>
        <s v="Micronesia"/>
        <s v="Moldova"/>
        <s v="Monaco"/>
        <s v="Mongolia"/>
        <s v="Montenegro"/>
        <s v="Montserrat"/>
        <s v="Morocco"/>
        <s v="Mozambique"/>
        <s v="Myanmar"/>
        <s v="Namibia"/>
        <s v="Nepal"/>
        <s v="Netherlands"/>
        <s v="New Caledonia"/>
        <s v="New Zealand"/>
        <s v="Nicaragua"/>
        <s v="Niger"/>
        <s v="Nigeria"/>
        <s v="Niue"/>
        <s v="North Macedonia"/>
        <s v="Norway"/>
        <s v="Oman"/>
        <s v="Pakistan"/>
        <s v="Palau"/>
        <s v="Palestine"/>
        <s v="Panama"/>
        <s v="Papua New Guinea"/>
        <s v="Paraguay"/>
        <s v="Peru"/>
        <s v="Philippines"/>
        <s v="Poland"/>
        <s v="Portugal"/>
        <s v="Qatar"/>
        <s v="RÃ©union"/>
        <s v="Romania"/>
        <s v="Russia"/>
        <s v="Rwanda"/>
        <s v="S. Korea"/>
        <s v="Saint Helena"/>
        <s v="Saint Kitts and Nevis"/>
        <s v="Saint Lucia"/>
        <s v="Saint Martin"/>
        <s v="Saint Pierre Miquelon"/>
        <s v="Samoa"/>
        <s v="San Marino"/>
        <s v="Sao Tome and Principe"/>
        <s v="Saudi Arabia"/>
        <s v="Senegal"/>
        <s v="Serbia"/>
        <s v="Seychelles"/>
        <s v="Sierra Leone"/>
        <s v="Singapore"/>
        <s v="Sint Maarten"/>
        <s v="Slovakia"/>
        <s v="Slovenia"/>
        <s v="Solomon Islands"/>
        <s v="Somalia"/>
        <s v="South Africa"/>
        <s v="South Sudan"/>
        <s v="Spain"/>
        <s v="Sri Lanka"/>
        <s v="St. Barth "/>
        <s v="St. Vincent Grenadines"/>
        <s v="Sudan"/>
        <s v="Suriname"/>
        <s v="Sweden"/>
        <s v="Switzerland"/>
        <s v="Syria"/>
        <s v="Taiwan"/>
        <s v="Tajikistan"/>
        <s v="Tanzania"/>
        <s v="Thailand"/>
        <s v="Timor-Leste"/>
        <s v="Togo"/>
        <s v="Tonga"/>
        <s v="Trinidad and Tobago"/>
        <s v="Tunisia"/>
        <s v="Turkey"/>
        <s v="Turks and Caicos"/>
        <s v="UAE"/>
        <s v="Uganda"/>
        <s v="UK"/>
        <s v="Ukraine"/>
        <s v="Uruguay"/>
        <s v="USA"/>
        <s v="Uzbekistan"/>
        <s v="Vanuatu"/>
        <s v="Vatican City"/>
        <s v="Venezuela"/>
        <s v="Vietnam"/>
        <s v="Wallis and Futuna"/>
        <s v="Western Sahara"/>
        <s v="Yemen"/>
        <s v="Zambia"/>
        <s v="Zimbabwe"/>
        <s v="United Arab Emirates" u="1"/>
        <s v="United Kingdom" u="1"/>
        <s v="United States Of America" u="1"/>
      </sharedItems>
    </cacheField>
    <cacheField name="Population" numFmtId="3">
      <sharedItems containsSemiMixedTypes="0" containsString="0" containsNumber="1" containsInteger="1" minValue="805" maxValue="1439323776"/>
    </cacheField>
    <cacheField name="Continent" numFmtId="0">
      <sharedItems count="6">
        <s v="Asia"/>
        <s v="Europe"/>
        <s v="Africa"/>
        <s v="Latin America and the Caribbean"/>
        <s v="Oceania"/>
        <s v="Northern America"/>
      </sharedItems>
    </cacheField>
    <cacheField name="Total Cases" numFmtId="3">
      <sharedItems containsSemiMixedTypes="0" containsString="0" containsNumber="1" containsInteger="1" minValue="1" maxValue="81839052"/>
    </cacheField>
    <cacheField name="Total Deaths" numFmtId="3">
      <sharedItems containsSemiMixedTypes="0" containsString="0" containsNumber="1" containsInteger="1" minValue="0" maxValue="1008222"/>
    </cacheField>
    <cacheField name="Total Cases/1M pop" numFmtId="3">
      <sharedItems containsSemiMixedTypes="0" containsString="0" containsNumber="1" containsInteger="1" minValue="9" maxValue="696044"/>
    </cacheField>
    <cacheField name="Total Deaths/1M pop" numFmtId="3">
      <sharedItems containsSemiMixedTypes="0" containsString="0" containsNumber="1" containsInteger="1" minValue="0" maxValue="6286"/>
    </cacheField>
    <cacheField name="Death percentage" numFmtId="10">
      <sharedItems containsSemiMixedTypes="0" containsString="0" containsNumber="1" minValue="0" maxValue="0.18151787226833813" count="218">
        <n v="4.3137431323702249E-2"/>
        <n v="1.2750575090371344E-2"/>
        <n v="2.5872159764538504E-2"/>
        <n v="3.8227063761742952E-3"/>
        <n v="1.9154384337762363E-2"/>
        <n v="3.3333333333333335E-3"/>
        <n v="1.8016815694648337E-2"/>
        <n v="1.4164721112109513E-2"/>
        <n v="2.0391694709092373E-2"/>
        <n v="6.2259551848697541E-3"/>
        <n v="1.3638647620414902E-3"/>
        <n v="4.1120504816256811E-3"/>
        <n v="1.2242743930076093E-2"/>
        <n v="2.3667217299894881E-2"/>
        <n v="2.644537170039605E-3"/>
        <n v="1.4920815464936954E-2"/>
        <n v="6.2564650138476428E-3"/>
        <n v="7.0898622428578239E-3"/>
        <n v="8.0045743392447976E-3"/>
        <n v="1.1450714796906911E-2"/>
        <n v="6.0477886613238352E-3"/>
        <n v="1.0187838268067495E-2"/>
        <n v="3.8171581257753605E-4"/>
        <n v="2.4262893817704731E-2"/>
        <n v="4.1840012989329052E-2"/>
        <n v="8.7913958222868103E-3"/>
        <n v="2.2009101655823489E-2"/>
        <n v="1.007311129163282E-2"/>
        <n v="1.5664759439304574E-3"/>
        <n v="3.205809872891497E-2"/>
        <n v="1.8318707140459408E-2"/>
        <n v="9.8652612996183702E-4"/>
        <n v="7.1658327376697643E-3"/>
        <n v="2.2497734756569205E-2"/>
        <n v="1.6119587766847354E-2"/>
        <n v="1.077095334796895E-2"/>
        <n v="7.7138371219878489E-3"/>
        <n v="3.8488453463960811E-3"/>
        <n v="1.1647093079685529E-3"/>
        <n v="2.6135741652983033E-2"/>
        <n v="2.2596905962106728E-3"/>
        <n v="1.6276354429305126E-2"/>
        <n v="2.9973245098165933E-2"/>
        <n v="2.2948027958276194E-2"/>
        <n v="1.9770171753367108E-2"/>
        <n v="1.599435004777533E-2"/>
        <n v="0"/>
        <n v="9.8979231993595179E-3"/>
        <n v="1.4147615463440734E-2"/>
        <n v="7.7927997605595004E-3"/>
        <n v="6.5648742347126946E-3"/>
        <n v="2.1524488367230046E-3"/>
        <n v="1.0369048859052203E-2"/>
        <n v="1.9736742951016431E-3"/>
        <n v="1.2123155869146888E-2"/>
        <n v="5.2981246320746786E-3"/>
        <n v="7.5675021189005936E-3"/>
        <n v="1.5412459076866326E-2"/>
        <n v="4.1192478107664937E-2"/>
        <n v="4.8325231957946739E-2"/>
        <n v="2.5499783375626663E-2"/>
        <n v="1.1507262780607432E-2"/>
        <n v="1.0587993421052632E-2"/>
        <n v="4.417350091103371E-3"/>
        <n v="1.9956765114314757E-2"/>
        <n v="1.5972108407705948E-2"/>
        <n v="8.1782866489470455E-4"/>
        <n v="1.2945888050665922E-2"/>
        <n v="3.5722876804409943E-3"/>
        <n v="5.4814528523356469E-3"/>
        <n v="4.9826114448308567E-3"/>
        <n v="8.9327691584391161E-3"/>
        <n v="6.3674189887782118E-3"/>
        <n v="3.0447113780447115E-2"/>
        <n v="1.0159942081781592E-2"/>
        <n v="6.0316334721171559E-3"/>
        <n v="8.9767722136285411E-3"/>
        <n v="5.9485246480947048E-3"/>
        <n v="8.9949966062440566E-3"/>
        <n v="1.7542394119121211E-3"/>
        <n v="1.5544780376497433E-2"/>
        <n v="6.4496384989097587E-3"/>
        <n v="2.0854774930935484E-2"/>
        <n v="1.2068350750157712E-2"/>
        <n v="2.0856336645810328E-2"/>
        <n v="1.9376659501833354E-2"/>
        <n v="2.7267668336115748E-2"/>
        <n v="2.5839425072792129E-2"/>
        <n v="6.9761366954009746E-3"/>
        <n v="2.4544304329958289E-2"/>
        <n v="5.5546389484683494E-4"/>
        <n v="1.2117117916912121E-2"/>
        <n v="2.5795430251357936E-2"/>
        <n v="1.9576162103987837E-2"/>
        <n v="1.0849215174161516E-2"/>
        <n v="4.6125298223910934E-3"/>
        <n v="2.9560810810810812E-3"/>
        <n v="2.6704517932730483E-3"/>
        <n v="1.0762391764154198E-2"/>
        <n v="9.7356930565917731E-3"/>
        <n v="2.245926201954802E-2"/>
        <n v="4.2453674501690079E-3"/>
        <n v="8.289163530285075E-3"/>
        <n v="1.0465925215371272E-2"/>
        <n v="1.746152466811355E-2"/>
        <n v="4.2386697098141506E-3"/>
        <n v="4.0570271236249553E-3"/>
        <n v="1.4882966442418693E-2"/>
        <n v="3.6990629766833734E-3"/>
        <n v="7.0314777940872287E-3"/>
        <n v="9.4373716256707495E-3"/>
        <n v="2.1178972956548161E-2"/>
        <n v="3.9729729729729726E-2"/>
        <n v="1.2793529690794798E-2"/>
        <n v="5.1129100979974435E-3"/>
        <n v="8.6394701668144249E-3"/>
        <n v="4.7792643527714666E-3"/>
        <n v="2.167056986729118E-2"/>
        <n v="3.0654650728427345E-2"/>
        <n v="8.265459262959067E-3"/>
        <n v="1.6836824055188623E-3"/>
        <n v="2.3872766027217576E-2"/>
        <n v="7.855777243982549E-3"/>
        <n v="6.4278895449563344E-3"/>
        <n v="1.6737685358786433E-2"/>
        <n v="2.6427869389538058E-2"/>
        <n v="5.0689870158033123E-3"/>
        <n v="5.7050405833611047E-2"/>
        <n v="2.2259864371575986E-2"/>
        <n v="4.9806308799114551E-3"/>
        <n v="4.6456541687117216E-3"/>
        <n v="1.1593221501247182E-2"/>
        <n v="1.1428571428571429E-2"/>
        <n v="1.380287161610484E-2"/>
        <n v="9.7662319213729538E-3"/>
        <n v="3.1759754851889685E-2"/>
        <n v="2.5493827943620515E-2"/>
        <n v="1.2213904289838779E-2"/>
        <n v="2.7837694205407435E-3"/>
        <n v="5.1580588449928683E-3"/>
        <n v="5.0489095076736211E-4"/>
        <n v="1.2151459260062928E-2"/>
        <n v="3.495630461922597E-2"/>
        <n v="1.2298996351793571E-2"/>
        <n v="3.0090977271986175E-2"/>
        <n v="1.7874534680004657E-3"/>
        <n v="1.0942986294881432E-2"/>
        <n v="1.9902770694332092E-2"/>
        <n v="1.4844136566056407E-3"/>
        <n v="9.206243247149179E-3"/>
        <n v="1.0676765815531101E-2"/>
        <n v="1.5164798710992109E-2"/>
        <n v="2.8890126212109762E-2"/>
        <n v="5.9834992175697231E-2"/>
        <n v="1.6128072270983576E-2"/>
        <n v="1.9321997158613588E-2"/>
        <n v="6.0189550053078231E-3"/>
        <n v="1.8711012965046058E-3"/>
        <n v="2.1042009823561709E-3"/>
        <n v="2.2757993268752705E-2"/>
        <n v="2.065769504001427E-2"/>
        <n v="1.1238899851998026E-2"/>
        <n v="1.2422323538857979E-3"/>
        <n v="7.7491439899080913E-3"/>
        <n v="1.5894443476746213E-2"/>
        <n v="6.2333036509349959E-3"/>
        <n v="5.1098620337250899E-4"/>
        <n v="4.3763676148796501E-4"/>
        <n v="7.4435149199657468E-3"/>
        <n v="1.2279226240538267E-2"/>
        <n v="1.2046716976710746E-2"/>
        <n v="2.2870377914081867E-2"/>
        <n v="7.9895108955219361E-3"/>
        <n v="4.0572969496054032E-3"/>
        <n v="1.6288767266093303E-2"/>
        <n v="1.1498147320463097E-3"/>
        <n v="8.8060618472250666E-3"/>
        <n v="1.1253054934635845E-2"/>
        <n v="6.6752781622602918E-3"/>
        <n v="1.1595466434176112E-2"/>
        <n v="5.1060606060606063E-2"/>
        <n v="2.6873821164591343E-2"/>
        <n v="7.9870355365204305E-3"/>
        <n v="8.8767989539780458E-3"/>
        <n v="2.4896108859486007E-2"/>
        <n v="1.4457831325301205E-3"/>
        <n v="1.5713015120071155E-2"/>
        <n v="7.9202647082559918E-2"/>
        <n v="1.6723041195476573E-2"/>
        <n v="7.3682035748107201E-3"/>
        <n v="3.9288132835425833E-3"/>
        <n v="5.6434097395487423E-2"/>
        <n v="3.5088440970793909E-2"/>
        <n v="7.1313549574419143E-3"/>
        <n v="2.3658139878752035E-2"/>
        <n v="6.8482687362171786E-3"/>
        <n v="5.6937631394533986E-3"/>
        <n v="7.3624945864010395E-3"/>
        <n v="1.2628034236003929E-3"/>
        <n v="2.7133826982120281E-2"/>
        <n v="2.7341864533094441E-2"/>
        <n v="6.5900485211851092E-3"/>
        <n v="6.0913705583756344E-3"/>
        <n v="2.5802257417308363E-3"/>
        <n v="2.1929289478821005E-2"/>
        <n v="7.8036943613842454E-3"/>
        <n v="2.1731250959723124E-2"/>
        <n v="8.0560936152703783E-3"/>
        <n v="1.2319570857199079E-2"/>
        <n v="6.8824021559534673E-3"/>
        <n v="4.8697345994643291E-4"/>
        <n v="1.091691738201339E-2"/>
        <n v="4.3388242886161473E-3"/>
        <n v="1.5418502202643172E-2"/>
        <n v="0.1"/>
        <n v="0.18151787226833813"/>
        <n v="1.2511196053942903E-2"/>
        <n v="2.2091065814826082E-2"/>
      </sharedItems>
    </cacheField>
    <cacheField name="Recovered Cases" numFmtId="3">
      <sharedItems containsSemiMixedTypes="0" containsString="0" containsNumber="1" containsInteger="1" minValue="1" maxValue="80830830"/>
    </cacheField>
  </cacheFields>
  <extLst>
    <ext xmlns:x14="http://schemas.microsoft.com/office/spreadsheetml/2009/9/main" uri="{725AE2AE-9491-48be-B2B4-4EB974FC3084}">
      <x14:pivotCacheDefinition pivotCacheId="1032073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n v="40462186"/>
    <x v="0"/>
    <n v="177827"/>
    <n v="7671"/>
    <n v="4395"/>
    <n v="190"/>
    <x v="0"/>
    <n v="170156"/>
  </r>
  <r>
    <x v="1"/>
    <n v="2872296"/>
    <x v="1"/>
    <n v="273870"/>
    <n v="3492"/>
    <n v="95349"/>
    <n v="1216"/>
    <x v="1"/>
    <n v="270378"/>
  </r>
  <r>
    <x v="2"/>
    <n v="45236699"/>
    <x v="2"/>
    <n v="265691"/>
    <n v="6874"/>
    <n v="5873"/>
    <n v="152"/>
    <x v="2"/>
    <n v="258817"/>
  </r>
  <r>
    <x v="3"/>
    <n v="77481"/>
    <x v="1"/>
    <n v="40024"/>
    <n v="153"/>
    <n v="516565"/>
    <n v="1975"/>
    <x v="3"/>
    <n v="39871"/>
  </r>
  <r>
    <x v="4"/>
    <n v="34654212"/>
    <x v="2"/>
    <n v="99194"/>
    <n v="1900"/>
    <n v="2862"/>
    <n v="55"/>
    <x v="4"/>
    <n v="97294"/>
  </r>
  <r>
    <x v="5"/>
    <n v="15237"/>
    <x v="3"/>
    <n v="2700"/>
    <n v="9"/>
    <n v="177200"/>
    <n v="591"/>
    <x v="5"/>
    <n v="2691"/>
  </r>
  <r>
    <x v="6"/>
    <n v="99348"/>
    <x v="3"/>
    <n v="7493"/>
    <n v="135"/>
    <n v="75422"/>
    <n v="1359"/>
    <x v="6"/>
    <n v="7358"/>
  </r>
  <r>
    <x v="7"/>
    <n v="45921761"/>
    <x v="3"/>
    <n v="9041124"/>
    <n v="128065"/>
    <n v="196881"/>
    <n v="2789"/>
    <x v="7"/>
    <n v="8913059"/>
  </r>
  <r>
    <x v="8"/>
    <n v="2972939"/>
    <x v="0"/>
    <n v="422574"/>
    <n v="8617"/>
    <n v="142140"/>
    <n v="2898"/>
    <x v="8"/>
    <n v="413957"/>
  </r>
  <r>
    <x v="9"/>
    <n v="107560"/>
    <x v="3"/>
    <n v="34051"/>
    <n v="212"/>
    <n v="316577"/>
    <n v="1971"/>
    <x v="9"/>
    <n v="33839"/>
  </r>
  <r>
    <x v="10"/>
    <n v="26017767"/>
    <x v="4"/>
    <n v="4680816"/>
    <n v="6384"/>
    <n v="179908"/>
    <n v="245"/>
    <x v="10"/>
    <n v="4674432"/>
  </r>
  <r>
    <x v="11"/>
    <n v="9096360"/>
    <x v="1"/>
    <n v="3887355"/>
    <n v="15985"/>
    <n v="427353"/>
    <n v="1757"/>
    <x v="11"/>
    <n v="3871370"/>
  </r>
  <r>
    <x v="12"/>
    <n v="10299156"/>
    <x v="0"/>
    <n v="792061"/>
    <n v="9697"/>
    <n v="76905"/>
    <n v="942"/>
    <x v="12"/>
    <n v="782364"/>
  </r>
  <r>
    <x v="13"/>
    <n v="399822"/>
    <x v="3"/>
    <n v="33295"/>
    <n v="788"/>
    <n v="83275"/>
    <n v="1971"/>
    <x v="13"/>
    <n v="32507"/>
  </r>
  <r>
    <x v="14"/>
    <n v="1804995"/>
    <x v="0"/>
    <n v="556241"/>
    <n v="1471"/>
    <n v="308168"/>
    <n v="815"/>
    <x v="14"/>
    <n v="554770"/>
  </r>
  <r>
    <x v="15"/>
    <n v="167561502"/>
    <x v="0"/>
    <n v="1951770"/>
    <n v="29122"/>
    <n v="11648"/>
    <n v="174"/>
    <x v="15"/>
    <n v="1922648"/>
  </r>
  <r>
    <x v="16"/>
    <n v="287991"/>
    <x v="3"/>
    <n v="59938"/>
    <n v="375"/>
    <n v="208125"/>
    <n v="1302"/>
    <x v="16"/>
    <n v="59563"/>
  </r>
  <r>
    <x v="17"/>
    <n v="9443882"/>
    <x v="1"/>
    <n v="965322"/>
    <n v="6844"/>
    <n v="102217"/>
    <n v="725"/>
    <x v="17"/>
    <n v="958478"/>
  </r>
  <r>
    <x v="18"/>
    <n v="11677924"/>
    <x v="1"/>
    <n v="3851048"/>
    <n v="30826"/>
    <n v="329772"/>
    <n v="2640"/>
    <x v="18"/>
    <n v="3820222"/>
  </r>
  <r>
    <x v="19"/>
    <n v="410260"/>
    <x v="3"/>
    <n v="57289"/>
    <n v="656"/>
    <n v="139641"/>
    <n v="1599"/>
    <x v="19"/>
    <n v="56633"/>
  </r>
  <r>
    <x v="20"/>
    <n v="12678649"/>
    <x v="2"/>
    <n v="26952"/>
    <n v="163"/>
    <n v="2126"/>
    <n v="13"/>
    <x v="20"/>
    <n v="26789"/>
  </r>
  <r>
    <x v="21"/>
    <n v="61875"/>
    <x v="5"/>
    <n v="12564"/>
    <n v="128"/>
    <n v="203055"/>
    <n v="2069"/>
    <x v="21"/>
    <n v="12436"/>
  </r>
  <r>
    <x v="22"/>
    <n v="786480"/>
    <x v="0"/>
    <n v="31437"/>
    <n v="12"/>
    <n v="39972"/>
    <n v="15"/>
    <x v="22"/>
    <n v="31425"/>
  </r>
  <r>
    <x v="23"/>
    <n v="11951714"/>
    <x v="3"/>
    <n v="902448"/>
    <n v="21896"/>
    <n v="75508"/>
    <n v="1832"/>
    <x v="23"/>
    <n v="880552"/>
  </r>
  <r>
    <x v="24"/>
    <n v="3245097"/>
    <x v="1"/>
    <n v="375693"/>
    <n v="15719"/>
    <n v="115773"/>
    <n v="4844"/>
    <x v="24"/>
    <n v="359974"/>
  </r>
  <r>
    <x v="25"/>
    <n v="2434708"/>
    <x v="2"/>
    <n v="305526"/>
    <n v="2686"/>
    <n v="125488"/>
    <n v="1103"/>
    <x v="25"/>
    <n v="302840"/>
  </r>
  <r>
    <x v="26"/>
    <n v="215204501"/>
    <x v="3"/>
    <n v="29999816"/>
    <n v="660269"/>
    <n v="139401"/>
    <n v="3068"/>
    <x v="26"/>
    <n v="29339547"/>
  </r>
  <r>
    <x v="27"/>
    <n v="30583"/>
    <x v="3"/>
    <n v="6155"/>
    <n v="62"/>
    <n v="201256"/>
    <n v="2027"/>
    <x v="27"/>
    <n v="6093"/>
  </r>
  <r>
    <x v="28"/>
    <n v="444812"/>
    <x v="0"/>
    <n v="135974"/>
    <n v="213"/>
    <n v="305689"/>
    <n v="479"/>
    <x v="28"/>
    <n v="135761"/>
  </r>
  <r>
    <x v="29"/>
    <n v="6856886"/>
    <x v="1"/>
    <n v="1140679"/>
    <n v="36568"/>
    <n v="166355"/>
    <n v="5333"/>
    <x v="29"/>
    <n v="1104111"/>
  </r>
  <r>
    <x v="30"/>
    <n v="21905848"/>
    <x v="2"/>
    <n v="20853"/>
    <n v="382"/>
    <n v="952"/>
    <n v="17"/>
    <x v="30"/>
    <n v="20471"/>
  </r>
  <r>
    <x v="31"/>
    <n v="12510155"/>
    <x v="2"/>
    <n v="38519"/>
    <n v="38"/>
    <n v="3079"/>
    <n v="3"/>
    <x v="31"/>
    <n v="38481"/>
  </r>
  <r>
    <x v="32"/>
    <n v="566557"/>
    <x v="2"/>
    <n v="55960"/>
    <n v="401"/>
    <n v="98772"/>
    <n v="708"/>
    <x v="32"/>
    <n v="55559"/>
  </r>
  <r>
    <x v="33"/>
    <n v="17123941"/>
    <x v="0"/>
    <n v="135747"/>
    <n v="3054"/>
    <n v="7927"/>
    <n v="178"/>
    <x v="33"/>
    <n v="132693"/>
  </r>
  <r>
    <x v="34"/>
    <n v="27701805"/>
    <x v="2"/>
    <n v="119544"/>
    <n v="1927"/>
    <n v="4315"/>
    <n v="70"/>
    <x v="34"/>
    <n v="117617"/>
  </r>
  <r>
    <x v="35"/>
    <n v="38321435"/>
    <x v="5"/>
    <n v="3499226"/>
    <n v="37690"/>
    <n v="91312"/>
    <n v="984"/>
    <x v="35"/>
    <n v="3461536"/>
  </r>
  <r>
    <x v="36"/>
    <n v="4976719"/>
    <x v="2"/>
    <n v="14649"/>
    <n v="113"/>
    <n v="2944"/>
    <n v="23"/>
    <x v="36"/>
    <n v="14536"/>
  </r>
  <r>
    <x v="37"/>
    <n v="26650"/>
    <x v="3"/>
    <n v="8574"/>
    <n v="33"/>
    <n v="321726"/>
    <n v="1238"/>
    <x v="37"/>
    <n v="8541"/>
  </r>
  <r>
    <x v="38"/>
    <n v="67073"/>
    <x v="3"/>
    <n v="20606"/>
    <n v="24"/>
    <n v="307218"/>
    <n v="358"/>
    <x v="38"/>
    <n v="20582"/>
  </r>
  <r>
    <x v="39"/>
    <n v="17250246"/>
    <x v="2"/>
    <n v="7308"/>
    <n v="191"/>
    <n v="424"/>
    <n v="11"/>
    <x v="39"/>
    <n v="7117"/>
  </r>
  <r>
    <x v="40"/>
    <n v="176668"/>
    <x v="1"/>
    <n v="69036"/>
    <n v="156"/>
    <n v="390767"/>
    <n v="883"/>
    <x v="40"/>
    <n v="68880"/>
  </r>
  <r>
    <x v="41"/>
    <n v="19403451"/>
    <x v="3"/>
    <n v="3486653"/>
    <n v="56750"/>
    <n v="179692"/>
    <n v="2925"/>
    <x v="41"/>
    <n v="3429903"/>
  </r>
  <r>
    <x v="42"/>
    <n v="1439323776"/>
    <x v="0"/>
    <n v="154738"/>
    <n v="4638"/>
    <n v="108"/>
    <n v="3"/>
    <x v="42"/>
    <n v="150100"/>
  </r>
  <r>
    <x v="43"/>
    <n v="51832231"/>
    <x v="3"/>
    <n v="6085926"/>
    <n v="139660"/>
    <n v="117416"/>
    <n v="2694"/>
    <x v="43"/>
    <n v="5946266"/>
  </r>
  <r>
    <x v="44"/>
    <n v="902011"/>
    <x v="2"/>
    <n v="8093"/>
    <n v="160"/>
    <n v="8972"/>
    <n v="177"/>
    <x v="44"/>
    <n v="7933"/>
  </r>
  <r>
    <x v="45"/>
    <n v="5755689"/>
    <x v="2"/>
    <n v="24071"/>
    <n v="385"/>
    <n v="4182"/>
    <n v="67"/>
    <x v="45"/>
    <n v="23686"/>
  </r>
  <r>
    <x v="46"/>
    <n v="17592"/>
    <x v="4"/>
    <n v="2118"/>
    <n v="0"/>
    <n v="120396"/>
    <n v="0"/>
    <x v="46"/>
    <n v="2118"/>
  </r>
  <r>
    <x v="47"/>
    <n v="5175547"/>
    <x v="3"/>
    <n v="839368"/>
    <n v="8308"/>
    <n v="162180"/>
    <n v="1605"/>
    <x v="47"/>
    <n v="831060"/>
  </r>
  <r>
    <x v="48"/>
    <n v="4060951"/>
    <x v="1"/>
    <n v="1102730"/>
    <n v="15601"/>
    <n v="271545"/>
    <n v="3842"/>
    <x v="48"/>
    <n v="1087129"/>
  </r>
  <r>
    <x v="49"/>
    <n v="11314513"/>
    <x v="3"/>
    <n v="1092547"/>
    <n v="8514"/>
    <n v="96562"/>
    <n v="752"/>
    <x v="49"/>
    <n v="1084033"/>
  </r>
  <r>
    <x v="50"/>
    <n v="165268"/>
    <x v="3"/>
    <n v="40671"/>
    <n v="267"/>
    <n v="246091"/>
    <n v="1616"/>
    <x v="50"/>
    <n v="40404"/>
  </r>
  <r>
    <x v="51"/>
    <n v="1222745"/>
    <x v="0"/>
    <n v="439964"/>
    <n v="947"/>
    <n v="359817"/>
    <n v="774"/>
    <x v="51"/>
    <n v="439017"/>
  </r>
  <r>
    <x v="52"/>
    <n v="10743762"/>
    <x v="1"/>
    <n v="3830631"/>
    <n v="39720"/>
    <n v="356545"/>
    <n v="3697"/>
    <x v="52"/>
    <n v="3790911"/>
  </r>
  <r>
    <x v="53"/>
    <n v="5827911"/>
    <x v="1"/>
    <n v="2919428"/>
    <n v="5762"/>
    <n v="500939"/>
    <n v="989"/>
    <x v="53"/>
    <n v="2913666"/>
  </r>
  <r>
    <x v="54"/>
    <n v="1013146"/>
    <x v="2"/>
    <n v="15590"/>
    <n v="189"/>
    <n v="15388"/>
    <n v="187"/>
    <x v="54"/>
    <n v="15401"/>
  </r>
  <r>
    <x v="55"/>
    <n v="72299"/>
    <x v="3"/>
    <n v="11891"/>
    <n v="63"/>
    <n v="164470"/>
    <n v="871"/>
    <x v="55"/>
    <n v="11828"/>
  </r>
  <r>
    <x v="56"/>
    <n v="11038333"/>
    <x v="3"/>
    <n v="578130"/>
    <n v="4375"/>
    <n v="52375"/>
    <n v="396"/>
    <x v="56"/>
    <n v="573755"/>
  </r>
  <r>
    <x v="57"/>
    <n v="94323344"/>
    <x v="2"/>
    <n v="86748"/>
    <n v="1337"/>
    <n v="920"/>
    <n v="14"/>
    <x v="57"/>
    <n v="85411"/>
  </r>
  <r>
    <x v="58"/>
    <n v="18111933"/>
    <x v="3"/>
    <n v="859890"/>
    <n v="35421"/>
    <n v="47476"/>
    <n v="1956"/>
    <x v="58"/>
    <n v="824469"/>
  </r>
  <r>
    <x v="59"/>
    <n v="105711844"/>
    <x v="2"/>
    <n v="505264"/>
    <n v="24417"/>
    <n v="4780"/>
    <n v="231"/>
    <x v="59"/>
    <n v="480847"/>
  </r>
  <r>
    <x v="60"/>
    <n v="6543499"/>
    <x v="3"/>
    <n v="161570"/>
    <n v="4120"/>
    <n v="24692"/>
    <n v="630"/>
    <x v="60"/>
    <n v="157450"/>
  </r>
  <r>
    <x v="61"/>
    <n v="1483588"/>
    <x v="2"/>
    <n v="15903"/>
    <n v="183"/>
    <n v="10719"/>
    <n v="123"/>
    <x v="61"/>
    <n v="15720"/>
  </r>
  <r>
    <x v="62"/>
    <n v="3632329"/>
    <x v="2"/>
    <n v="9728"/>
    <n v="103"/>
    <n v="2678"/>
    <n v="28"/>
    <x v="62"/>
    <n v="9625"/>
  </r>
  <r>
    <x v="63"/>
    <n v="1328097"/>
    <x v="1"/>
    <n v="558706"/>
    <n v="2468"/>
    <n v="420682"/>
    <n v="1858"/>
    <x v="63"/>
    <n v="556238"/>
  </r>
  <r>
    <x v="64"/>
    <n v="1181191"/>
    <x v="2"/>
    <n v="69851"/>
    <n v="1394"/>
    <n v="59136"/>
    <n v="1180"/>
    <x v="64"/>
    <n v="68457"/>
  </r>
  <r>
    <x v="65"/>
    <n v="119945147"/>
    <x v="2"/>
    <n v="469819"/>
    <n v="7504"/>
    <n v="3917"/>
    <n v="63"/>
    <x v="65"/>
    <n v="462315"/>
  </r>
  <r>
    <x v="66"/>
    <n v="49188"/>
    <x v="1"/>
    <n v="34237"/>
    <n v="28"/>
    <n v="696044"/>
    <n v="569"/>
    <x v="66"/>
    <n v="34209"/>
  </r>
  <r>
    <x v="67"/>
    <n v="3657"/>
    <x v="3"/>
    <n v="123"/>
    <n v="0"/>
    <n v="33634"/>
    <n v="0"/>
    <x v="46"/>
    <n v="123"/>
  </r>
  <r>
    <x v="68"/>
    <n v="907817"/>
    <x v="4"/>
    <n v="64422"/>
    <n v="834"/>
    <n v="70964"/>
    <n v="919"/>
    <x v="67"/>
    <n v="63588"/>
  </r>
  <r>
    <x v="69"/>
    <n v="5555788"/>
    <x v="1"/>
    <n v="889626"/>
    <n v="3178"/>
    <n v="160126"/>
    <n v="572"/>
    <x v="68"/>
    <n v="886448"/>
  </r>
  <r>
    <x v="70"/>
    <n v="65526369"/>
    <x v="1"/>
    <n v="25997852"/>
    <n v="142506"/>
    <n v="396754"/>
    <n v="2175"/>
    <x v="69"/>
    <n v="25855346"/>
  </r>
  <r>
    <x v="71"/>
    <n v="312224"/>
    <x v="3"/>
    <n v="79075"/>
    <n v="394"/>
    <n v="253264"/>
    <n v="1262"/>
    <x v="70"/>
    <n v="78681"/>
  </r>
  <r>
    <x v="72"/>
    <n v="283751"/>
    <x v="4"/>
    <n v="72318"/>
    <n v="646"/>
    <n v="254864"/>
    <n v="2277"/>
    <x v="71"/>
    <n v="71672"/>
  </r>
  <r>
    <x v="73"/>
    <n v="2317612"/>
    <x v="2"/>
    <n v="47586"/>
    <n v="303"/>
    <n v="20532"/>
    <n v="131"/>
    <x v="72"/>
    <n v="47283"/>
  </r>
  <r>
    <x v="74"/>
    <n v="2535418"/>
    <x v="2"/>
    <n v="11988"/>
    <n v="365"/>
    <n v="4728"/>
    <n v="144"/>
    <x v="73"/>
    <n v="11623"/>
  </r>
  <r>
    <x v="75"/>
    <n v="3975762"/>
    <x v="0"/>
    <n v="1649222"/>
    <n v="16756"/>
    <n v="414819"/>
    <n v="4215"/>
    <x v="74"/>
    <n v="1632466"/>
  </r>
  <r>
    <x v="76"/>
    <n v="84252947"/>
    <x v="1"/>
    <n v="21646375"/>
    <n v="130563"/>
    <n v="256921"/>
    <n v="1550"/>
    <x v="75"/>
    <n v="21515812"/>
  </r>
  <r>
    <x v="77"/>
    <n v="32207812"/>
    <x v="2"/>
    <n v="160971"/>
    <n v="1445"/>
    <n v="4998"/>
    <n v="45"/>
    <x v="76"/>
    <n v="159526"/>
  </r>
  <r>
    <x v="78"/>
    <n v="33673"/>
    <x v="1"/>
    <n v="16979"/>
    <n v="101"/>
    <n v="504232"/>
    <n v="2999"/>
    <x v="77"/>
    <n v="16878"/>
  </r>
  <r>
    <x v="79"/>
    <n v="10333930"/>
    <x v="1"/>
    <n v="3077711"/>
    <n v="27684"/>
    <n v="297826"/>
    <n v="2679"/>
    <x v="78"/>
    <n v="3050027"/>
  </r>
  <r>
    <x v="80"/>
    <n v="56942"/>
    <x v="5"/>
    <n v="11971"/>
    <n v="21"/>
    <n v="210231"/>
    <n v="369"/>
    <x v="79"/>
    <n v="11950"/>
  </r>
  <r>
    <x v="81"/>
    <n v="113436"/>
    <x v="3"/>
    <n v="14024"/>
    <n v="218"/>
    <n v="123629"/>
    <n v="1922"/>
    <x v="80"/>
    <n v="13806"/>
  </r>
  <r>
    <x v="82"/>
    <n v="400244"/>
    <x v="3"/>
    <n v="130705"/>
    <n v="843"/>
    <n v="326563"/>
    <n v="2106"/>
    <x v="81"/>
    <n v="129862"/>
  </r>
  <r>
    <x v="83"/>
    <n v="18495493"/>
    <x v="3"/>
    <n v="830745"/>
    <n v="17325"/>
    <n v="44916"/>
    <n v="937"/>
    <x v="82"/>
    <n v="813420"/>
  </r>
  <r>
    <x v="84"/>
    <n v="13755881"/>
    <x v="2"/>
    <n v="36459"/>
    <n v="440"/>
    <n v="2650"/>
    <n v="32"/>
    <x v="83"/>
    <n v="36019"/>
  </r>
  <r>
    <x v="85"/>
    <n v="2049374"/>
    <x v="2"/>
    <n v="8151"/>
    <n v="170"/>
    <n v="3977"/>
    <n v="83"/>
    <x v="84"/>
    <n v="7981"/>
  </r>
  <r>
    <x v="86"/>
    <n v="793196"/>
    <x v="3"/>
    <n v="63272"/>
    <n v="1226"/>
    <n v="79768"/>
    <n v="1546"/>
    <x v="85"/>
    <n v="62046"/>
  </r>
  <r>
    <x v="87"/>
    <n v="11645833"/>
    <x v="3"/>
    <n v="30549"/>
    <n v="833"/>
    <n v="2623"/>
    <n v="72"/>
    <x v="86"/>
    <n v="29716"/>
  </r>
  <r>
    <x v="88"/>
    <n v="10180299"/>
    <x v="3"/>
    <n v="421062"/>
    <n v="10880"/>
    <n v="41360"/>
    <n v="1069"/>
    <x v="87"/>
    <n v="410182"/>
  </r>
  <r>
    <x v="89"/>
    <n v="7603455"/>
    <x v="0"/>
    <n v="1171422"/>
    <n v="8172"/>
    <n v="154064"/>
    <n v="1075"/>
    <x v="88"/>
    <n v="1163250"/>
  </r>
  <r>
    <x v="90"/>
    <n v="9617409"/>
    <x v="1"/>
    <n v="1854198"/>
    <n v="45510"/>
    <n v="192796"/>
    <n v="4732"/>
    <x v="89"/>
    <n v="1808688"/>
  </r>
  <r>
    <x v="91"/>
    <n v="345120"/>
    <x v="1"/>
    <n v="181830"/>
    <n v="101"/>
    <n v="526860"/>
    <n v="293"/>
    <x v="90"/>
    <n v="181729"/>
  </r>
  <r>
    <x v="92"/>
    <n v="1403754381"/>
    <x v="0"/>
    <n v="43029044"/>
    <n v="521388"/>
    <n v="30653"/>
    <n v="371"/>
    <x v="91"/>
    <n v="42507656"/>
  </r>
  <r>
    <x v="93"/>
    <n v="278586508"/>
    <x v="0"/>
    <n v="6019981"/>
    <n v="155288"/>
    <n v="21609"/>
    <n v="557"/>
    <x v="92"/>
    <n v="5864693"/>
  </r>
  <r>
    <x v="94"/>
    <n v="85874667"/>
    <x v="0"/>
    <n v="7167646"/>
    <n v="140315"/>
    <n v="83466"/>
    <n v="1634"/>
    <x v="93"/>
    <n v="7027331"/>
  </r>
  <r>
    <x v="95"/>
    <n v="41801625"/>
    <x v="0"/>
    <n v="2320260"/>
    <n v="25173"/>
    <n v="55506"/>
    <n v="602"/>
    <x v="94"/>
    <n v="2295087"/>
  </r>
  <r>
    <x v="96"/>
    <n v="5034333"/>
    <x v="1"/>
    <n v="1471210"/>
    <n v="6786"/>
    <n v="292235"/>
    <n v="1348"/>
    <x v="95"/>
    <n v="1464424"/>
  </r>
  <r>
    <x v="97"/>
    <n v="85821"/>
    <x v="1"/>
    <n v="28416"/>
    <n v="84"/>
    <n v="331108"/>
    <n v="979"/>
    <x v="96"/>
    <n v="28332"/>
  </r>
  <r>
    <x v="98"/>
    <n v="9326000"/>
    <x v="0"/>
    <n v="3943153"/>
    <n v="10530"/>
    <n v="422813"/>
    <n v="1129"/>
    <x v="97"/>
    <n v="3932623"/>
  </r>
  <r>
    <x v="99"/>
    <n v="60306185"/>
    <x v="1"/>
    <n v="14846514"/>
    <n v="159784"/>
    <n v="246186"/>
    <n v="2650"/>
    <x v="98"/>
    <n v="14686730"/>
  </r>
  <r>
    <x v="100"/>
    <n v="27520953"/>
    <x v="2"/>
    <n v="81761"/>
    <n v="796"/>
    <n v="2971"/>
    <n v="29"/>
    <x v="99"/>
    <n v="80965"/>
  </r>
  <r>
    <x v="101"/>
    <n v="2983794"/>
    <x v="3"/>
    <n v="128811"/>
    <n v="2893"/>
    <n v="43170"/>
    <n v="970"/>
    <x v="100"/>
    <n v="125918"/>
  </r>
  <r>
    <x v="102"/>
    <n v="125798669"/>
    <x v="0"/>
    <n v="6653841"/>
    <n v="28248"/>
    <n v="52893"/>
    <n v="225"/>
    <x v="101"/>
    <n v="6625593"/>
  </r>
  <r>
    <x v="103"/>
    <n v="10380442"/>
    <x v="0"/>
    <n v="1689314"/>
    <n v="14003"/>
    <n v="162740"/>
    <n v="1349"/>
    <x v="102"/>
    <n v="1675311"/>
  </r>
  <r>
    <x v="104"/>
    <n v="19169833"/>
    <x v="0"/>
    <n v="1305188"/>
    <n v="13660"/>
    <n v="68086"/>
    <n v="713"/>
    <x v="103"/>
    <n v="1291528"/>
  </r>
  <r>
    <x v="105"/>
    <n v="55843563"/>
    <x v="2"/>
    <n v="323454"/>
    <n v="5648"/>
    <n v="5792"/>
    <n v="101"/>
    <x v="104"/>
    <n v="317806"/>
  </r>
  <r>
    <x v="106"/>
    <n v="122656"/>
    <x v="4"/>
    <n v="3067"/>
    <n v="13"/>
    <n v="25005"/>
    <n v="106"/>
    <x v="105"/>
    <n v="3054"/>
  </r>
  <r>
    <x v="107"/>
    <n v="4381108"/>
    <x v="0"/>
    <n v="629525"/>
    <n v="2554"/>
    <n v="143691"/>
    <n v="583"/>
    <x v="106"/>
    <n v="626971"/>
  </r>
  <r>
    <x v="108"/>
    <n v="6712569"/>
    <x v="0"/>
    <n v="200968"/>
    <n v="2991"/>
    <n v="29939"/>
    <n v="446"/>
    <x v="107"/>
    <n v="197977"/>
  </r>
  <r>
    <x v="109"/>
    <n v="7460338"/>
    <x v="0"/>
    <n v="183560"/>
    <n v="679"/>
    <n v="24605"/>
    <n v="91"/>
    <x v="108"/>
    <n v="182881"/>
  </r>
  <r>
    <x v="110"/>
    <n v="1849698"/>
    <x v="1"/>
    <n v="802534"/>
    <n v="5643"/>
    <n v="433873"/>
    <n v="3051"/>
    <x v="109"/>
    <n v="796891"/>
  </r>
  <r>
    <x v="111"/>
    <n v="6771939"/>
    <x v="0"/>
    <n v="1092995"/>
    <n v="10315"/>
    <n v="161401"/>
    <n v="1523"/>
    <x v="110"/>
    <n v="1082680"/>
  </r>
  <r>
    <x v="112"/>
    <n v="2171978"/>
    <x v="2"/>
    <n v="32910"/>
    <n v="697"/>
    <n v="15152"/>
    <n v="321"/>
    <x v="111"/>
    <n v="32213"/>
  </r>
  <r>
    <x v="113"/>
    <n v="5265647"/>
    <x v="2"/>
    <n v="7400"/>
    <n v="294"/>
    <n v="1405"/>
    <n v="56"/>
    <x v="112"/>
    <n v="7106"/>
  </r>
  <r>
    <x v="114"/>
    <n v="7034832"/>
    <x v="2"/>
    <n v="501738"/>
    <n v="6419"/>
    <n v="71322"/>
    <n v="912"/>
    <x v="113"/>
    <n v="495319"/>
  </r>
  <r>
    <x v="115"/>
    <n v="38320"/>
    <x v="1"/>
    <n v="16429"/>
    <n v="84"/>
    <n v="428732"/>
    <n v="2192"/>
    <x v="114"/>
    <n v="16345"/>
  </r>
  <r>
    <x v="116"/>
    <n v="2655811"/>
    <x v="1"/>
    <n v="1030966"/>
    <n v="8907"/>
    <n v="388193"/>
    <n v="3354"/>
    <x v="115"/>
    <n v="1022059"/>
  </r>
  <r>
    <x v="117"/>
    <n v="643801"/>
    <x v="1"/>
    <n v="216979"/>
    <n v="1037"/>
    <n v="337028"/>
    <n v="1611"/>
    <x v="116"/>
    <n v="215942"/>
  </r>
  <r>
    <x v="118"/>
    <n v="664828"/>
    <x v="0"/>
    <n v="82"/>
    <n v="0"/>
    <n v="123"/>
    <n v="0"/>
    <x v="46"/>
    <n v="82"/>
  </r>
  <r>
    <x v="119"/>
    <n v="28936285"/>
    <x v="2"/>
    <n v="64050"/>
    <n v="1388"/>
    <n v="2213"/>
    <n v="48"/>
    <x v="117"/>
    <n v="62662"/>
  </r>
  <r>
    <x v="120"/>
    <n v="19994654"/>
    <x v="2"/>
    <n v="85664"/>
    <n v="2626"/>
    <n v="4284"/>
    <n v="131"/>
    <x v="118"/>
    <n v="83038"/>
  </r>
  <r>
    <x v="121"/>
    <n v="33091831"/>
    <x v="0"/>
    <n v="4246467"/>
    <n v="35099"/>
    <n v="128324"/>
    <n v="1061"/>
    <x v="119"/>
    <n v="4211368"/>
  </r>
  <r>
    <x v="122"/>
    <n v="557204"/>
    <x v="0"/>
    <n v="176993"/>
    <n v="298"/>
    <n v="317645"/>
    <n v="535"/>
    <x v="120"/>
    <n v="176695"/>
  </r>
  <r>
    <x v="123"/>
    <n v="21271006"/>
    <x v="2"/>
    <n v="30495"/>
    <n v="728"/>
    <n v="1434"/>
    <n v="34"/>
    <x v="121"/>
    <n v="29767"/>
  </r>
  <r>
    <x v="124"/>
    <n v="443602"/>
    <x v="1"/>
    <n v="81596"/>
    <n v="641"/>
    <n v="183940"/>
    <n v="1445"/>
    <x v="122"/>
    <n v="80955"/>
  </r>
  <r>
    <x v="125"/>
    <n v="59889"/>
    <x v="4"/>
    <n v="7"/>
    <n v="0"/>
    <n v="117"/>
    <n v="0"/>
    <x v="46"/>
    <n v="7"/>
  </r>
  <r>
    <x v="126"/>
    <n v="374756"/>
    <x v="3"/>
    <n v="141415"/>
    <n v="909"/>
    <n v="377352"/>
    <n v="2426"/>
    <x v="123"/>
    <n v="140506"/>
  </r>
  <r>
    <x v="127"/>
    <n v="4863443"/>
    <x v="2"/>
    <n v="58670"/>
    <n v="982"/>
    <n v="12063"/>
    <n v="202"/>
    <x v="124"/>
    <n v="57688"/>
  </r>
  <r>
    <x v="128"/>
    <n v="1275463"/>
    <x v="2"/>
    <n v="36628"/>
    <n v="968"/>
    <n v="28717"/>
    <n v="759"/>
    <x v="125"/>
    <n v="35660"/>
  </r>
  <r>
    <x v="129"/>
    <n v="284330"/>
    <x v="2"/>
    <n v="36891"/>
    <n v="187"/>
    <n v="129747"/>
    <n v="658"/>
    <x v="126"/>
    <n v="36704"/>
  </r>
  <r>
    <x v="130"/>
    <n v="131303955"/>
    <x v="3"/>
    <n v="5665376"/>
    <n v="323212"/>
    <n v="43147"/>
    <n v="2462"/>
    <x v="127"/>
    <n v="5342164"/>
  </r>
  <r>
    <x v="131"/>
    <n v="117134"/>
    <x v="4"/>
    <n v="1"/>
    <n v="0"/>
    <n v="9"/>
    <n v="0"/>
    <x v="46"/>
    <n v="1"/>
  </r>
  <r>
    <x v="132"/>
    <n v="4017550"/>
    <x v="1"/>
    <n v="514199"/>
    <n v="11446"/>
    <n v="127988"/>
    <n v="2849"/>
    <x v="128"/>
    <n v="502753"/>
  </r>
  <r>
    <x v="133"/>
    <n v="39729"/>
    <x v="1"/>
    <n v="10842"/>
    <n v="54"/>
    <n v="272899"/>
    <n v="1359"/>
    <x v="129"/>
    <n v="10788"/>
  </r>
  <r>
    <x v="134"/>
    <n v="3370682"/>
    <x v="0"/>
    <n v="468610"/>
    <n v="2177"/>
    <n v="139025"/>
    <n v="646"/>
    <x v="130"/>
    <n v="466433"/>
  </r>
  <r>
    <x v="135"/>
    <n v="628205"/>
    <x v="1"/>
    <n v="233326"/>
    <n v="2705"/>
    <n v="371417"/>
    <n v="4306"/>
    <x v="131"/>
    <n v="230621"/>
  </r>
  <r>
    <x v="136"/>
    <n v="4997"/>
    <x v="3"/>
    <n v="175"/>
    <n v="2"/>
    <n v="35021"/>
    <n v="400"/>
    <x v="132"/>
    <n v="173"/>
  </r>
  <r>
    <x v="137"/>
    <n v="37676342"/>
    <x v="2"/>
    <n v="1163526"/>
    <n v="16060"/>
    <n v="30882"/>
    <n v="426"/>
    <x v="133"/>
    <n v="1147466"/>
  </r>
  <r>
    <x v="138"/>
    <n v="32787052"/>
    <x v="2"/>
    <n v="225266"/>
    <n v="2200"/>
    <n v="6871"/>
    <n v="67"/>
    <x v="134"/>
    <n v="223066"/>
  </r>
  <r>
    <x v="139"/>
    <n v="55048340"/>
    <x v="0"/>
    <n v="611875"/>
    <n v="19433"/>
    <n v="11115"/>
    <n v="353"/>
    <x v="135"/>
    <n v="592442"/>
  </r>
  <r>
    <x v="140"/>
    <n v="2621429"/>
    <x v="2"/>
    <n v="157646"/>
    <n v="4019"/>
    <n v="60137"/>
    <n v="1533"/>
    <x v="136"/>
    <n v="153627"/>
  </r>
  <r>
    <x v="141"/>
    <n v="30053867"/>
    <x v="0"/>
    <n v="978475"/>
    <n v="11951"/>
    <n v="32557"/>
    <n v="398"/>
    <x v="137"/>
    <n v="966524"/>
  </r>
  <r>
    <x v="142"/>
    <n v="17201245"/>
    <x v="1"/>
    <n v="7908701"/>
    <n v="22016"/>
    <n v="459775"/>
    <n v="1280"/>
    <x v="138"/>
    <n v="7886685"/>
  </r>
  <r>
    <x v="143"/>
    <n v="290302"/>
    <x v="4"/>
    <n v="60294"/>
    <n v="311"/>
    <n v="207694"/>
    <n v="1071"/>
    <x v="139"/>
    <n v="59983"/>
  </r>
  <r>
    <x v="144"/>
    <n v="5002100"/>
    <x v="4"/>
    <n v="693219"/>
    <n v="350"/>
    <n v="138586"/>
    <n v="70"/>
    <x v="140"/>
    <n v="692869"/>
  </r>
  <r>
    <x v="145"/>
    <n v="6762511"/>
    <x v="3"/>
    <n v="18434"/>
    <n v="224"/>
    <n v="2726"/>
    <n v="33"/>
    <x v="141"/>
    <n v="18210"/>
  </r>
  <r>
    <x v="146"/>
    <n v="25738714"/>
    <x v="2"/>
    <n v="8811"/>
    <n v="308"/>
    <n v="342"/>
    <n v="12"/>
    <x v="142"/>
    <n v="8503"/>
  </r>
  <r>
    <x v="147"/>
    <n v="215077352"/>
    <x v="2"/>
    <n v="255468"/>
    <n v="3142"/>
    <n v="1188"/>
    <n v="15"/>
    <x v="143"/>
    <n v="252326"/>
  </r>
  <r>
    <x v="148"/>
    <n v="1645"/>
    <x v="4"/>
    <n v="7"/>
    <n v="0"/>
    <n v="4255"/>
    <n v="0"/>
    <x v="46"/>
    <n v="7"/>
  </r>
  <r>
    <x v="149"/>
    <n v="2083224"/>
    <x v="1"/>
    <n v="306670"/>
    <n v="9228"/>
    <n v="147209"/>
    <n v="4430"/>
    <x v="144"/>
    <n v="297442"/>
  </r>
  <r>
    <x v="150"/>
    <n v="5495449"/>
    <x v="1"/>
    <n v="1408708"/>
    <n v="2518"/>
    <n v="256341"/>
    <n v="458"/>
    <x v="145"/>
    <n v="1406190"/>
  </r>
  <r>
    <x v="151"/>
    <n v="5333815"/>
    <x v="0"/>
    <n v="388468"/>
    <n v="4251"/>
    <n v="72831"/>
    <n v="797"/>
    <x v="146"/>
    <n v="384217"/>
  </r>
  <r>
    <x v="152"/>
    <n v="228397520"/>
    <x v="0"/>
    <n v="1525466"/>
    <n v="30361"/>
    <n v="6679"/>
    <n v="133"/>
    <x v="147"/>
    <n v="1495105"/>
  </r>
  <r>
    <x v="153"/>
    <n v="18245"/>
    <x v="4"/>
    <n v="4042"/>
    <n v="6"/>
    <n v="221540"/>
    <n v="329"/>
    <x v="148"/>
    <n v="4036"/>
  </r>
  <r>
    <x v="154"/>
    <n v="5308883"/>
    <x v="0"/>
    <n v="581236"/>
    <n v="5351"/>
    <n v="109484"/>
    <n v="1008"/>
    <x v="149"/>
    <n v="575885"/>
  </r>
  <r>
    <x v="155"/>
    <n v="4433639"/>
    <x v="3"/>
    <n v="765213"/>
    <n v="8170"/>
    <n v="172593"/>
    <n v="1843"/>
    <x v="150"/>
    <n v="757043"/>
  </r>
  <r>
    <x v="156"/>
    <n v="9243590"/>
    <x v="4"/>
    <n v="42203"/>
    <n v="640"/>
    <n v="4566"/>
    <n v="69"/>
    <x v="151"/>
    <n v="41563"/>
  </r>
  <r>
    <x v="157"/>
    <n v="7285892"/>
    <x v="3"/>
    <n v="648353"/>
    <n v="18731"/>
    <n v="88987"/>
    <n v="2571"/>
    <x v="152"/>
    <n v="629622"/>
  </r>
  <r>
    <x v="158"/>
    <n v="33775745"/>
    <x v="3"/>
    <n v="3548559"/>
    <n v="212328"/>
    <n v="105062"/>
    <n v="6286"/>
    <x v="153"/>
    <n v="3336231"/>
  </r>
  <r>
    <x v="159"/>
    <n v="112133868"/>
    <x v="0"/>
    <n v="3679485"/>
    <n v="59343"/>
    <n v="32813"/>
    <n v="529"/>
    <x v="154"/>
    <n v="3620142"/>
  </r>
  <r>
    <x v="160"/>
    <n v="37774045"/>
    <x v="1"/>
    <n v="5969621"/>
    <n v="115345"/>
    <n v="158035"/>
    <n v="3054"/>
    <x v="155"/>
    <n v="5854276"/>
  </r>
  <r>
    <x v="161"/>
    <n v="10144662"/>
    <x v="1"/>
    <n v="3604114"/>
    <n v="21693"/>
    <n v="355272"/>
    <n v="2138"/>
    <x v="156"/>
    <n v="3582421"/>
  </r>
  <r>
    <x v="162"/>
    <n v="2807805"/>
    <x v="0"/>
    <n v="361819"/>
    <n v="677"/>
    <n v="128862"/>
    <n v="241"/>
    <x v="157"/>
    <n v="361142"/>
  </r>
  <r>
    <x v="163"/>
    <n v="906497"/>
    <x v="2"/>
    <n v="336945"/>
    <n v="709"/>
    <n v="371700"/>
    <n v="782"/>
    <x v="158"/>
    <n v="336236"/>
  </r>
  <r>
    <x v="164"/>
    <n v="19013049"/>
    <x v="1"/>
    <n v="2860094"/>
    <n v="65090"/>
    <n v="150428"/>
    <n v="3423"/>
    <x v="159"/>
    <n v="2795004"/>
  </r>
  <r>
    <x v="165"/>
    <n v="146044010"/>
    <x v="1"/>
    <n v="17896866"/>
    <n v="369708"/>
    <n v="122544"/>
    <n v="2531"/>
    <x v="160"/>
    <n v="17527158"/>
  </r>
  <r>
    <x v="166"/>
    <n v="13513881"/>
    <x v="2"/>
    <n v="129728"/>
    <n v="1458"/>
    <n v="9600"/>
    <n v="108"/>
    <x v="161"/>
    <n v="128270"/>
  </r>
  <r>
    <x v="167"/>
    <n v="51346429"/>
    <x v="0"/>
    <n v="13874216"/>
    <n v="17235"/>
    <n v="270208"/>
    <n v="336"/>
    <x v="162"/>
    <n v="13856981"/>
  </r>
  <r>
    <x v="168"/>
    <n v="6109"/>
    <x v="2"/>
    <n v="2"/>
    <n v="0"/>
    <n v="327"/>
    <n v="0"/>
    <x v="46"/>
    <n v="2"/>
  </r>
  <r>
    <x v="169"/>
    <n v="53858"/>
    <x v="3"/>
    <n v="5549"/>
    <n v="43"/>
    <n v="103030"/>
    <n v="798"/>
    <x v="163"/>
    <n v="5506"/>
  </r>
  <r>
    <x v="170"/>
    <n v="185096"/>
    <x v="3"/>
    <n v="22964"/>
    <n v="365"/>
    <n v="124065"/>
    <n v="1972"/>
    <x v="164"/>
    <n v="22599"/>
  </r>
  <r>
    <x v="171"/>
    <n v="39820"/>
    <x v="3"/>
    <n v="10107"/>
    <n v="63"/>
    <n v="253817"/>
    <n v="1582"/>
    <x v="165"/>
    <n v="10044"/>
  </r>
  <r>
    <x v="172"/>
    <n v="5744"/>
    <x v="5"/>
    <n v="1957"/>
    <n v="1"/>
    <n v="340703"/>
    <n v="174"/>
    <x v="166"/>
    <n v="1956"/>
  </r>
  <r>
    <x v="173"/>
    <n v="200722"/>
    <x v="4"/>
    <n v="2285"/>
    <n v="1"/>
    <n v="11384"/>
    <n v="5"/>
    <x v="167"/>
    <n v="2284"/>
  </r>
  <r>
    <x v="174"/>
    <n v="34056"/>
    <x v="1"/>
    <n v="15181"/>
    <n v="113"/>
    <n v="445766"/>
    <n v="3318"/>
    <x v="168"/>
    <n v="15068"/>
  </r>
  <r>
    <x v="175"/>
    <n v="226281"/>
    <x v="2"/>
    <n v="5945"/>
    <n v="73"/>
    <n v="26273"/>
    <n v="323"/>
    <x v="169"/>
    <n v="5872"/>
  </r>
  <r>
    <x v="176"/>
    <n v="35762746"/>
    <x v="0"/>
    <n v="751076"/>
    <n v="9048"/>
    <n v="21002"/>
    <n v="253"/>
    <x v="170"/>
    <n v="742028"/>
  </r>
  <r>
    <x v="177"/>
    <n v="17515750"/>
    <x v="2"/>
    <n v="85919"/>
    <n v="1965"/>
    <n v="4905"/>
    <n v="112"/>
    <x v="171"/>
    <n v="83954"/>
  </r>
  <r>
    <x v="178"/>
    <n v="8675762"/>
    <x v="1"/>
    <n v="1980722"/>
    <n v="15825"/>
    <n v="228305"/>
    <n v="1824"/>
    <x v="172"/>
    <n v="1964897"/>
  </r>
  <r>
    <x v="179"/>
    <n v="99413"/>
    <x v="2"/>
    <n v="40421"/>
    <n v="164"/>
    <n v="406597"/>
    <n v="1650"/>
    <x v="173"/>
    <n v="40257"/>
  </r>
  <r>
    <x v="180"/>
    <n v="8260822"/>
    <x v="2"/>
    <n v="7674"/>
    <n v="125"/>
    <n v="929"/>
    <n v="15"/>
    <x v="174"/>
    <n v="7549"/>
  </r>
  <r>
    <x v="181"/>
    <n v="5930887"/>
    <x v="0"/>
    <n v="1109744"/>
    <n v="1276"/>
    <n v="187113"/>
    <n v="215"/>
    <x v="175"/>
    <n v="1108468"/>
  </r>
  <r>
    <x v="182"/>
    <n v="43728"/>
    <x v="3"/>
    <n v="9766"/>
    <n v="86"/>
    <n v="223335"/>
    <n v="1967"/>
    <x v="176"/>
    <n v="9680"/>
  </r>
  <r>
    <x v="183"/>
    <n v="5464272"/>
    <x v="1"/>
    <n v="1725487"/>
    <n v="19417"/>
    <n v="315776"/>
    <n v="3553"/>
    <x v="177"/>
    <n v="1706070"/>
  </r>
  <r>
    <x v="184"/>
    <n v="2079438"/>
    <x v="1"/>
    <n v="973892"/>
    <n v="6501"/>
    <n v="468344"/>
    <n v="3126"/>
    <x v="178"/>
    <n v="967391"/>
  </r>
  <r>
    <x v="185"/>
    <n v="716351"/>
    <x v="4"/>
    <n v="11470"/>
    <n v="133"/>
    <n v="16012"/>
    <n v="186"/>
    <x v="179"/>
    <n v="11337"/>
  </r>
  <r>
    <x v="186"/>
    <n v="16668781"/>
    <x v="2"/>
    <n v="26400"/>
    <n v="1348"/>
    <n v="1584"/>
    <n v="81"/>
    <x v="180"/>
    <n v="25052"/>
  </r>
  <r>
    <x v="187"/>
    <n v="60617532"/>
    <x v="2"/>
    <n v="3722954"/>
    <n v="100050"/>
    <n v="61417"/>
    <n v="1651"/>
    <x v="181"/>
    <n v="3622904"/>
  </r>
  <r>
    <x v="188"/>
    <n v="11423439"/>
    <x v="2"/>
    <n v="17278"/>
    <n v="138"/>
    <n v="1513"/>
    <n v="12"/>
    <x v="182"/>
    <n v="17140"/>
  </r>
  <r>
    <x v="189"/>
    <n v="46786482"/>
    <x v="1"/>
    <n v="11551574"/>
    <n v="102541"/>
    <n v="246900"/>
    <n v="2192"/>
    <x v="183"/>
    <n v="11449033"/>
  </r>
  <r>
    <x v="190"/>
    <n v="21570428"/>
    <x v="0"/>
    <n v="661991"/>
    <n v="16481"/>
    <n v="30690"/>
    <n v="764"/>
    <x v="184"/>
    <n v="645510"/>
  </r>
  <r>
    <x v="191"/>
    <n v="9930"/>
    <x v="3"/>
    <n v="4150"/>
    <n v="6"/>
    <n v="417925"/>
    <n v="604"/>
    <x v="185"/>
    <n v="4144"/>
  </r>
  <r>
    <x v="192"/>
    <n v="111557"/>
    <x v="3"/>
    <n v="6746"/>
    <n v="106"/>
    <n v="60471"/>
    <n v="950"/>
    <x v="186"/>
    <n v="6640"/>
  </r>
  <r>
    <x v="193"/>
    <n v="45640385"/>
    <x v="2"/>
    <n v="61955"/>
    <n v="4907"/>
    <n v="1357"/>
    <n v="108"/>
    <x v="187"/>
    <n v="57048"/>
  </r>
  <r>
    <x v="194"/>
    <n v="595833"/>
    <x v="3"/>
    <n v="79232"/>
    <n v="1325"/>
    <n v="132977"/>
    <n v="2224"/>
    <x v="188"/>
    <n v="77907"/>
  </r>
  <r>
    <x v="195"/>
    <n v="10209507"/>
    <x v="1"/>
    <n v="2487852"/>
    <n v="18331"/>
    <n v="243680"/>
    <n v="1795"/>
    <x v="189"/>
    <n v="2469521"/>
  </r>
  <r>
    <x v="196"/>
    <n v="8765420"/>
    <x v="1"/>
    <n v="3490876"/>
    <n v="13715"/>
    <n v="398255"/>
    <n v="1565"/>
    <x v="190"/>
    <n v="3477161"/>
  </r>
  <r>
    <x v="197"/>
    <n v="18244381"/>
    <x v="0"/>
    <n v="55711"/>
    <n v="3144"/>
    <n v="3054"/>
    <n v="172"/>
    <x v="191"/>
    <n v="52567"/>
  </r>
  <r>
    <x v="198"/>
    <n v="23892241"/>
    <x v="0"/>
    <n v="24310"/>
    <n v="853"/>
    <n v="1017"/>
    <n v="36"/>
    <x v="192"/>
    <n v="23457"/>
  </r>
  <r>
    <x v="199"/>
    <n v="9912437"/>
    <x v="0"/>
    <n v="17388"/>
    <n v="124"/>
    <n v="1754"/>
    <n v="13"/>
    <x v="193"/>
    <n v="17264"/>
  </r>
  <r>
    <x v="200"/>
    <n v="62710097"/>
    <x v="2"/>
    <n v="33815"/>
    <n v="800"/>
    <n v="539"/>
    <n v="13"/>
    <x v="194"/>
    <n v="33015"/>
  </r>
  <r>
    <x v="201"/>
    <n v="70106601"/>
    <x v="0"/>
    <n v="3711595"/>
    <n v="25418"/>
    <n v="52942"/>
    <n v="363"/>
    <x v="195"/>
    <n v="3686177"/>
  </r>
  <r>
    <x v="202"/>
    <n v="1362386"/>
    <x v="0"/>
    <n v="22832"/>
    <n v="130"/>
    <n v="16759"/>
    <n v="95"/>
    <x v="196"/>
    <n v="22702"/>
  </r>
  <r>
    <x v="203"/>
    <n v="8618172"/>
    <x v="2"/>
    <n v="36944"/>
    <n v="272"/>
    <n v="4287"/>
    <n v="32"/>
    <x v="197"/>
    <n v="36672"/>
  </r>
  <r>
    <x v="204"/>
    <n v="107792"/>
    <x v="4"/>
    <n v="7127"/>
    <n v="9"/>
    <n v="66118"/>
    <n v="83"/>
    <x v="198"/>
    <n v="7118"/>
  </r>
  <r>
    <x v="205"/>
    <n v="1407422"/>
    <x v="3"/>
    <n v="138425"/>
    <n v="3756"/>
    <n v="98354"/>
    <n v="2669"/>
    <x v="199"/>
    <n v="134669"/>
  </r>
  <r>
    <x v="206"/>
    <n v="12035092"/>
    <x v="2"/>
    <n v="1035884"/>
    <n v="28323"/>
    <n v="86072"/>
    <n v="2353"/>
    <x v="200"/>
    <n v="1007561"/>
  </r>
  <r>
    <x v="207"/>
    <n v="85927644"/>
    <x v="0"/>
    <n v="14894731"/>
    <n v="98157"/>
    <n v="173340"/>
    <n v="1142"/>
    <x v="201"/>
    <n v="14796574"/>
  </r>
  <r>
    <x v="208"/>
    <n v="39634"/>
    <x v="3"/>
    <n v="5910"/>
    <n v="36"/>
    <n v="149114"/>
    <n v="908"/>
    <x v="202"/>
    <n v="5874"/>
  </r>
  <r>
    <x v="209"/>
    <n v="10099567"/>
    <x v="0"/>
    <n v="892170"/>
    <n v="2302"/>
    <n v="88337"/>
    <n v="228"/>
    <x v="203"/>
    <n v="889868"/>
  </r>
  <r>
    <x v="210"/>
    <n v="48267221"/>
    <x v="2"/>
    <n v="163936"/>
    <n v="3595"/>
    <n v="3396"/>
    <n v="74"/>
    <x v="204"/>
    <n v="160341"/>
  </r>
  <r>
    <x v="211"/>
    <n v="68510300"/>
    <x v="1"/>
    <n v="21216874"/>
    <n v="165570"/>
    <n v="309689"/>
    <n v="2417"/>
    <x v="205"/>
    <n v="21051304"/>
  </r>
  <r>
    <x v="212"/>
    <n v="43273831"/>
    <x v="1"/>
    <n v="4968881"/>
    <n v="107980"/>
    <n v="114824"/>
    <n v="2495"/>
    <x v="206"/>
    <n v="4860901"/>
  </r>
  <r>
    <x v="213"/>
    <n v="3494806"/>
    <x v="3"/>
    <n v="889513"/>
    <n v="7166"/>
    <n v="254524"/>
    <n v="2050"/>
    <x v="207"/>
    <n v="882347"/>
  </r>
  <r>
    <x v="214"/>
    <n v="334400597"/>
    <x v="5"/>
    <n v="81839052"/>
    <n v="1008222"/>
    <n v="244734"/>
    <n v="3015"/>
    <x v="208"/>
    <n v="80830830"/>
  </r>
  <r>
    <x v="215"/>
    <n v="34318156"/>
    <x v="0"/>
    <n v="237853"/>
    <n v="1637"/>
    <n v="6931"/>
    <n v="48"/>
    <x v="209"/>
    <n v="236216"/>
  </r>
  <r>
    <x v="216"/>
    <n v="319701"/>
    <x v="4"/>
    <n v="4107"/>
    <n v="2"/>
    <n v="12846"/>
    <n v="6"/>
    <x v="210"/>
    <n v="4105"/>
  </r>
  <r>
    <x v="217"/>
    <n v="805"/>
    <x v="1"/>
    <n v="29"/>
    <n v="0"/>
    <n v="36025"/>
    <n v="0"/>
    <x v="46"/>
    <n v="29"/>
  </r>
  <r>
    <x v="218"/>
    <n v="28294895"/>
    <x v="3"/>
    <n v="520843"/>
    <n v="5686"/>
    <n v="18408"/>
    <n v="201"/>
    <x v="211"/>
    <n v="515157"/>
  </r>
  <r>
    <x v="219"/>
    <n v="98871712"/>
    <x v="0"/>
    <n v="9818328"/>
    <n v="42600"/>
    <n v="99304"/>
    <n v="431"/>
    <x v="212"/>
    <n v="9775728"/>
  </r>
  <r>
    <x v="220"/>
    <n v="10894"/>
    <x v="4"/>
    <n v="454"/>
    <n v="7"/>
    <n v="41674"/>
    <n v="643"/>
    <x v="213"/>
    <n v="447"/>
  </r>
  <r>
    <x v="221"/>
    <n v="623031"/>
    <x v="2"/>
    <n v="10"/>
    <n v="1"/>
    <n v="16"/>
    <n v="2"/>
    <x v="214"/>
    <n v="9"/>
  </r>
  <r>
    <x v="222"/>
    <n v="30975258"/>
    <x v="0"/>
    <n v="11806"/>
    <n v="2143"/>
    <n v="381"/>
    <n v="69"/>
    <x v="215"/>
    <n v="9663"/>
  </r>
  <r>
    <x v="223"/>
    <n v="19284482"/>
    <x v="2"/>
    <n v="317076"/>
    <n v="3967"/>
    <n v="16442"/>
    <n v="206"/>
    <x v="216"/>
    <n v="313109"/>
  </r>
  <r>
    <x v="224"/>
    <n v="15241601"/>
    <x v="2"/>
    <n v="246525"/>
    <n v="5446"/>
    <n v="16174"/>
    <n v="357"/>
    <x v="217"/>
    <n v="241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09C3F-80E0-4F2F-A530-F5F8C58EBA0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4:B9" firstHeaderRow="1" firstDataRow="1" firstDataCol="1"/>
  <pivotFields count="9">
    <pivotField axis="axisRow" showAll="0" measureFilter="1" sortType="descending">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7"/>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10"/>
        <item x="212"/>
        <item m="1" x="225"/>
        <item m="1" x="226"/>
        <item m="1" x="227"/>
        <item x="213"/>
        <item x="215"/>
        <item x="216"/>
        <item x="217"/>
        <item x="218"/>
        <item x="219"/>
        <item x="220"/>
        <item x="221"/>
        <item x="222"/>
        <item x="223"/>
        <item x="224"/>
        <item x="209"/>
        <item x="211"/>
        <item x="214"/>
        <item t="default"/>
      </items>
      <autoSortScope>
        <pivotArea dataOnly="0" outline="0" fieldPosition="0">
          <references count="1">
            <reference field="4294967294" count="1" selected="0">
              <x v="0"/>
            </reference>
          </references>
        </pivotArea>
      </autoSortScope>
    </pivotField>
    <pivotField numFmtId="3" showAll="0"/>
    <pivotField showAll="0">
      <items count="7">
        <item h="1" x="2"/>
        <item h="1" x="0"/>
        <item h="1" x="1"/>
        <item h="1" x="3"/>
        <item h="1" x="5"/>
        <item x="4"/>
        <item t="default"/>
      </items>
    </pivotField>
    <pivotField dataField="1" numFmtId="3" showAll="0"/>
    <pivotField numFmtId="3" showAll="0"/>
    <pivotField numFmtId="3" showAll="0"/>
    <pivotField numFmtId="3" showAll="0"/>
    <pivotField showAll="0"/>
    <pivotField numFmtId="3" showAll="0"/>
  </pivotFields>
  <rowFields count="1">
    <field x="0"/>
  </rowFields>
  <rowItems count="5">
    <i>
      <x v="10"/>
    </i>
    <i>
      <x v="144"/>
    </i>
    <i>
      <x v="72"/>
    </i>
    <i>
      <x v="68"/>
    </i>
    <i>
      <x v="143"/>
    </i>
  </rowItems>
  <colItems count="1">
    <i/>
  </colItems>
  <dataFields count="1">
    <dataField name="Sum of Total Cases" fld="3" baseField="0" baseItem="92" numFmtId="164"/>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5EC84-5BD2-46E7-8698-493096F9D1C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B6" firstHeaderRow="1" firstDataRow="1" firstDataCol="1"/>
  <pivotFields count="9">
    <pivotField axis="axisRow" showAll="0" measureFilter="1" sortType="descending">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7"/>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m="1" x="225"/>
        <item m="1" x="226"/>
        <item m="1" x="227"/>
        <item x="213"/>
        <item x="214"/>
        <item x="215"/>
        <item x="216"/>
        <item x="217"/>
        <item x="218"/>
        <item x="219"/>
        <item x="220"/>
        <item x="221"/>
        <item x="222"/>
        <item x="223"/>
        <item x="224"/>
        <item t="default"/>
      </items>
      <autoSortScope>
        <pivotArea dataOnly="0" outline="0" fieldPosition="0">
          <references count="1">
            <reference field="4294967294" count="1" selected="0">
              <x v="0"/>
            </reference>
          </references>
        </pivotArea>
      </autoSortScope>
    </pivotField>
    <pivotField numFmtId="3" showAll="0"/>
    <pivotField showAll="0">
      <items count="7">
        <item h="1" x="2"/>
        <item h="1" x="0"/>
        <item h="1" x="1"/>
        <item h="1" x="3"/>
        <item h="1" x="5"/>
        <item x="4"/>
        <item t="default"/>
      </items>
    </pivotField>
    <pivotField numFmtId="3" showAll="0"/>
    <pivotField dataField="1" numFmtId="3" showAll="0"/>
    <pivotField numFmtId="3" showAll="0"/>
    <pivotField numFmtId="3" showAll="0"/>
    <pivotField numFmtId="10" showAll="0"/>
    <pivotField numFmtId="3" showAll="0"/>
  </pivotFields>
  <rowFields count="1">
    <field x="0"/>
  </rowFields>
  <rowItems count="5">
    <i>
      <x v="10"/>
    </i>
    <i>
      <x v="68"/>
    </i>
    <i>
      <x v="72"/>
    </i>
    <i>
      <x v="156"/>
    </i>
    <i>
      <x v="144"/>
    </i>
  </rowItems>
  <colItems count="1">
    <i/>
  </colItems>
  <dataFields count="1">
    <dataField name="Sum of Total Deaths" fld="4" baseField="0" baseItem="26" numFmtId="3"/>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70009B-9F0E-4A70-8C17-DBFA640601A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4" firstHeaderRow="1" firstDataRow="1" firstDataCol="1"/>
  <pivotFields count="9">
    <pivotField showAll="0">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7"/>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m="1" x="225"/>
        <item m="1" x="226"/>
        <item m="1" x="227"/>
        <item x="213"/>
        <item x="214"/>
        <item x="215"/>
        <item x="216"/>
        <item x="217"/>
        <item x="218"/>
        <item x="219"/>
        <item x="220"/>
        <item x="221"/>
        <item x="222"/>
        <item x="223"/>
        <item x="224"/>
        <item t="default"/>
      </items>
    </pivotField>
    <pivotField numFmtId="3" showAll="0"/>
    <pivotField axis="axisRow" showAll="0" sortType="descending">
      <items count="7">
        <item h="1" x="2"/>
        <item h="1" x="0"/>
        <item h="1" x="1"/>
        <item h="1" x="3"/>
        <item h="1" x="5"/>
        <item x="4"/>
        <item t="default"/>
      </items>
      <autoSortScope>
        <pivotArea dataOnly="0" outline="0" fieldPosition="0">
          <references count="1">
            <reference field="4294967294" count="1" selected="0">
              <x v="0"/>
            </reference>
          </references>
        </pivotArea>
      </autoSortScope>
    </pivotField>
    <pivotField dataField="1" numFmtId="3" showAll="0"/>
    <pivotField numFmtId="3" showAll="0"/>
    <pivotField numFmtId="3" showAll="0"/>
    <pivotField numFmtId="3" showAll="0"/>
    <pivotField showAll="0"/>
    <pivotField numFmtId="3" showAll="0"/>
  </pivotFields>
  <rowFields count="1">
    <field x="2"/>
  </rowFields>
  <rowItems count="1">
    <i>
      <x v="5"/>
    </i>
  </rowItems>
  <colItems count="1">
    <i/>
  </colItems>
  <dataFields count="1">
    <dataField name="Sum of Total Cases" fld="3" baseField="2" baseItem="0" numFmtId="3"/>
  </dataFields>
  <chartFormats count="7">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2" count="1" selected="0">
            <x v="2"/>
          </reference>
        </references>
      </pivotArea>
    </chartFormat>
    <chartFormat chart="8" format="16">
      <pivotArea type="data" outline="0" fieldPosition="0">
        <references count="2">
          <reference field="4294967294" count="1" selected="0">
            <x v="0"/>
          </reference>
          <reference field="2" count="1" selected="0">
            <x v="1"/>
          </reference>
        </references>
      </pivotArea>
    </chartFormat>
    <chartFormat chart="8" format="17">
      <pivotArea type="data" outline="0" fieldPosition="0">
        <references count="2">
          <reference field="4294967294" count="1" selected="0">
            <x v="0"/>
          </reference>
          <reference field="2" count="1" selected="0">
            <x v="4"/>
          </reference>
        </references>
      </pivotArea>
    </chartFormat>
    <chartFormat chart="8" format="18">
      <pivotArea type="data" outline="0" fieldPosition="0">
        <references count="2">
          <reference field="4294967294" count="1" selected="0">
            <x v="0"/>
          </reference>
          <reference field="2" count="1" selected="0">
            <x v="3"/>
          </reference>
        </references>
      </pivotArea>
    </chartFormat>
    <chartFormat chart="8" format="19">
      <pivotArea type="data" outline="0" fieldPosition="0">
        <references count="2">
          <reference field="4294967294" count="1" selected="0">
            <x v="0"/>
          </reference>
          <reference field="2" count="1" selected="0">
            <x v="0"/>
          </reference>
        </references>
      </pivotArea>
    </chartFormat>
    <chartFormat chart="8"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162278-9C7D-4F2F-B9C7-343D1FCD31E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4" firstHeaderRow="1" firstDataRow="1" firstDataCol="1"/>
  <pivotFields count="9">
    <pivotField showAll="0"/>
    <pivotField numFmtId="3" showAll="0"/>
    <pivotField axis="axisRow" showAll="0" sortType="descending">
      <items count="7">
        <item h="1" x="2"/>
        <item h="1" x="0"/>
        <item h="1" x="1"/>
        <item h="1" x="3"/>
        <item h="1" x="5"/>
        <item x="4"/>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numFmtId="3" showAll="0"/>
    <pivotField numFmtId="3" showAll="0"/>
    <pivotField numFmtId="10" showAll="0"/>
    <pivotField numFmtId="3" showAll="0"/>
  </pivotFields>
  <rowFields count="1">
    <field x="2"/>
  </rowFields>
  <rowItems count="1">
    <i>
      <x v="5"/>
    </i>
  </rowItems>
  <colItems count="1">
    <i/>
  </colItems>
  <dataFields count="1">
    <dataField name="Sum of Total Deaths" fld="4" baseField="2" baseItem="0" numFmtId="3"/>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1" format="9">
      <pivotArea type="data" outline="0" fieldPosition="0">
        <references count="2">
          <reference field="4294967294" count="1" selected="0">
            <x v="0"/>
          </reference>
          <reference field="2" count="1" selected="0">
            <x v="1"/>
          </reference>
        </references>
      </pivotArea>
    </chartFormat>
    <chartFormat chart="1" format="10">
      <pivotArea type="data" outline="0" fieldPosition="0">
        <references count="2">
          <reference field="4294967294" count="1" selected="0">
            <x v="0"/>
          </reference>
          <reference field="2" count="1" selected="0">
            <x v="4"/>
          </reference>
        </references>
      </pivotArea>
    </chartFormat>
    <chartFormat chart="1" format="11">
      <pivotArea type="data" outline="0" fieldPosition="0">
        <references count="2">
          <reference field="4294967294" count="1" selected="0">
            <x v="0"/>
          </reference>
          <reference field="2" count="1" selected="0">
            <x v="0"/>
          </reference>
        </references>
      </pivotArea>
    </chartFormat>
    <chartFormat chart="1" format="12">
      <pivotArea type="data" outline="0" fieldPosition="0">
        <references count="2">
          <reference field="4294967294" count="1" selected="0">
            <x v="0"/>
          </reference>
          <reference field="2" count="1" selected="0">
            <x v="5"/>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2"/>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6DFD93-83A2-4D14-8807-264881DE316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6" firstHeaderRow="1" firstDataRow="1" firstDataCol="1"/>
  <pivotFields count="9">
    <pivotField axis="axisRow" showAll="0" measureFilter="1" sortType="ascending">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7"/>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m="1" x="225"/>
        <item m="1" x="226"/>
        <item m="1" x="227"/>
        <item x="213"/>
        <item x="214"/>
        <item x="215"/>
        <item x="216"/>
        <item x="217"/>
        <item x="218"/>
        <item x="219"/>
        <item x="220"/>
        <item x="221"/>
        <item x="222"/>
        <item x="223"/>
        <item x="224"/>
        <item t="default"/>
      </items>
      <autoSortScope>
        <pivotArea dataOnly="0" outline="0" fieldPosition="0">
          <references count="1">
            <reference field="4294967294" count="1" selected="0">
              <x v="0"/>
            </reference>
          </references>
        </pivotArea>
      </autoSortScope>
    </pivotField>
    <pivotField numFmtId="3" showAll="0"/>
    <pivotField showAll="0">
      <items count="7">
        <item h="1" x="2"/>
        <item h="1" x="0"/>
        <item h="1" x="1"/>
        <item h="1" x="3"/>
        <item h="1" x="5"/>
        <item x="4"/>
        <item t="default"/>
      </items>
    </pivotField>
    <pivotField numFmtId="3" showAll="0"/>
    <pivotField numFmtId="3" showAll="0"/>
    <pivotField numFmtId="3" showAll="0"/>
    <pivotField numFmtId="3" showAll="0"/>
    <pivotField dataField="1" numFmtId="10" showAll="0"/>
    <pivotField numFmtId="3" showAll="0"/>
  </pivotFields>
  <rowFields count="1">
    <field x="0"/>
  </rowFields>
  <rowItems count="3">
    <i>
      <x v="68"/>
    </i>
    <i>
      <x v="156"/>
    </i>
    <i>
      <x v="223"/>
    </i>
  </rowItems>
  <colItems count="1">
    <i/>
  </colItems>
  <dataFields count="1">
    <dataField name="Sum of Death percentage" fld="7" baseField="0" baseItem="0" numFmtId="1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D55D36-DFD5-4FB2-A3B1-5D149F5C8D8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4" firstHeaderRow="0" firstDataRow="1" firstDataCol="0"/>
  <pivotFields count="9">
    <pivotField showAll="0">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7"/>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m="1" x="225"/>
        <item m="1" x="226"/>
        <item m="1" x="227"/>
        <item x="213"/>
        <item x="214"/>
        <item x="215"/>
        <item x="216"/>
        <item x="217"/>
        <item x="218"/>
        <item x="219"/>
        <item x="220"/>
        <item x="221"/>
        <item x="222"/>
        <item x="223"/>
        <item x="224"/>
        <item t="default"/>
      </items>
    </pivotField>
    <pivotField numFmtId="3" showAll="0"/>
    <pivotField showAll="0">
      <items count="7">
        <item h="1" x="2"/>
        <item h="1" x="0"/>
        <item h="1" x="1"/>
        <item h="1" x="3"/>
        <item h="1" x="5"/>
        <item x="4"/>
        <item t="default"/>
      </items>
    </pivotField>
    <pivotField dataField="1" numFmtId="3" showAll="0"/>
    <pivotField numFmtId="3" showAll="0"/>
    <pivotField numFmtId="3" showAll="0"/>
    <pivotField numFmtId="3" showAll="0"/>
    <pivotField numFmtId="10" showAll="0"/>
    <pivotField dataField="1" numFmtId="3" showAll="0"/>
  </pivotFields>
  <rowItems count="1">
    <i/>
  </rowItems>
  <colFields count="1">
    <field x="-2"/>
  </colFields>
  <colItems count="2">
    <i>
      <x/>
    </i>
    <i i="1">
      <x v="1"/>
    </i>
  </colItems>
  <dataFields count="2">
    <dataField name="Sum of Recovered Cases" fld="8" baseField="0" baseItem="1" numFmtId="3"/>
    <dataField name="Sum of Total Cases" fld="3" baseField="0" baseItem="1" numFmtId="3"/>
  </dataFields>
  <chartFormats count="3">
    <chartFormat chart="5" format="678" series="1">
      <pivotArea type="data" outline="0" fieldPosition="0">
        <references count="1">
          <reference field="4294967294" count="1" selected="0">
            <x v="0"/>
          </reference>
        </references>
      </pivotArea>
    </chartFormat>
    <chartFormat chart="5" format="679" series="1">
      <pivotArea type="data" outline="0" fieldPosition="0">
        <references count="1">
          <reference field="4294967294" count="1" selected="0">
            <x v="1"/>
          </reference>
        </references>
      </pivotArea>
    </chartFormat>
    <chartFormat chart="5" format="680">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CFCA08-9434-4BC7-9EAF-DC0A82DEBBD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9">
    <pivotField showAll="0">
      <items count="2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7"/>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m="1" x="225"/>
        <item m="1" x="226"/>
        <item m="1" x="227"/>
        <item x="213"/>
        <item x="214"/>
        <item x="215"/>
        <item x="216"/>
        <item x="217"/>
        <item x="218"/>
        <item x="219"/>
        <item x="220"/>
        <item x="221"/>
        <item x="222"/>
        <item x="223"/>
        <item x="224"/>
        <item t="default"/>
      </items>
    </pivotField>
    <pivotField numFmtId="3" showAll="0"/>
    <pivotField showAll="0">
      <items count="7">
        <item h="1" x="2"/>
        <item h="1" x="0"/>
        <item h="1" x="1"/>
        <item h="1" x="3"/>
        <item h="1" x="5"/>
        <item x="4"/>
        <item t="default"/>
      </items>
    </pivotField>
    <pivotField dataField="1" numFmtId="3" showAll="0"/>
    <pivotField dataField="1" numFmtId="3" showAll="0"/>
    <pivotField numFmtId="3" showAll="0"/>
    <pivotField numFmtId="3" showAll="0"/>
    <pivotField numFmtId="10" showAll="0"/>
    <pivotField numFmtId="3" showAll="0"/>
  </pivotFields>
  <rowItems count="1">
    <i/>
  </rowItems>
  <colFields count="1">
    <field x="-2"/>
  </colFields>
  <colItems count="2">
    <i>
      <x/>
    </i>
    <i i="1">
      <x v="1"/>
    </i>
  </colItems>
  <dataFields count="2">
    <dataField name="Sum of Total Cases" fld="3" baseField="0" baseItem="1" numFmtId="3"/>
    <dataField name="Sum of Total Deaths" fld="4" baseField="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B0E43BA-2021-45E8-B405-3BE001D35DE4}" sourceName="Continent">
  <pivotTables>
    <pivotTable tabId="4" name="PivotTable1"/>
    <pivotTable tabId="8" name="PivotTable2"/>
    <pivotTable tabId="11" name="PivotTable6"/>
    <pivotTable tabId="18" name="PivotTable11"/>
    <pivotTable tabId="21" name="PivotTable13"/>
    <pivotTable tabId="22" name="PivotTable9"/>
    <pivotTable tabId="23" name="PivotTable1"/>
  </pivotTables>
  <data>
    <tabular pivotCacheId="1032073725">
      <items count="6">
        <i x="2"/>
        <i x="0"/>
        <i x="1"/>
        <i x="3"/>
        <i x="5"/>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81F35EDA-ADA4-46AF-A7FD-0097342753CE}" cache="Slicer_Continent" caption="Continent"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C6FCB9-5ACF-4C94-BFE7-B48025401D23}" name="COVID_19_Coronavirus" displayName="COVID_19_Coronavirus" ref="A1:I226" totalsRowShown="0">
  <autoFilter ref="A1:I226" xr:uid="{05C6FCB9-5ACF-4C94-BFE7-B48025401D23}"/>
  <tableColumns count="9">
    <tableColumn id="1" xr3:uid="{73A49497-DE84-4E89-BAD3-0C0EB4838A5F}" name="Country" dataDxfId="7"/>
    <tableColumn id="2" xr3:uid="{DCBA3F98-4EF2-4D3C-BA3E-E12528B71D2C}" name="Population" dataDxfId="6"/>
    <tableColumn id="3" xr3:uid="{B50F133A-9E9E-4EF9-966D-9F19D576620C}" name="Continent" dataDxfId="5"/>
    <tableColumn id="4" xr3:uid="{5B608339-CB1F-43E5-8E85-11DEF3CEEBB1}" name="Total Cases" dataDxfId="4"/>
    <tableColumn id="5" xr3:uid="{330C2C72-BD15-4943-A4F6-6E97D88BB56B}" name="Total Deaths" dataDxfId="3"/>
    <tableColumn id="6" xr3:uid="{7B6A6C08-C1B6-4AEC-9272-DB0926BE91A4}" name="Total Cases/1M pop" dataDxfId="2"/>
    <tableColumn id="7" xr3:uid="{9357ED22-1B85-4023-9CCF-E993B3482BA5}" name="Total Deaths/1M pop" dataDxfId="1"/>
    <tableColumn id="8" xr3:uid="{95C2A30A-04AD-4FC0-B6FC-6F16F658734D}" name="Death percentage">
      <calculatedColumnFormula>COVID_19_Coronavirus[[#This Row],[Total Deaths]]/COVID_19_Coronavirus[[#This Row],[Total Cases]]</calculatedColumnFormula>
    </tableColumn>
    <tableColumn id="9" xr3:uid="{DC5D340B-D9DD-4F7B-B1A2-4BA7681487C4}" name="Recovered Cases" dataDxfId="0">
      <calculatedColumnFormula>COVID_19_Coronavirus[[#This Row],[Total Cases]]-COVID_19_Coronavirus[[#This Row],[Total Deaths]]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6"/>
  <sheetViews>
    <sheetView topLeftCell="FA1" workbookViewId="0">
      <selection activeCell="A216" sqref="A216"/>
    </sheetView>
  </sheetViews>
  <sheetFormatPr defaultRowHeight="14.5" x14ac:dyDescent="0.35"/>
  <cols>
    <col min="1" max="1" width="31.54296875" bestFit="1" customWidth="1"/>
    <col min="2" max="2" width="49.453125" bestFit="1" customWidth="1"/>
    <col min="3" max="3" width="22.81640625" bestFit="1" customWidth="1"/>
    <col min="4" max="4" width="11" bestFit="1" customWidth="1"/>
    <col min="5" max="5" width="30.26953125" bestFit="1" customWidth="1"/>
    <col min="6" max="6" width="10.81640625" bestFit="1" customWidth="1"/>
    <col min="7" max="7" width="12" bestFit="1" customWidth="1"/>
    <col min="8" max="8" width="19.1796875" bestFit="1" customWidth="1"/>
    <col min="9" max="9" width="19.453125" bestFit="1" customWidth="1"/>
    <col min="10" max="10" width="16.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10</v>
      </c>
      <c r="C2" t="s">
        <v>11</v>
      </c>
      <c r="D2">
        <v>40462186</v>
      </c>
      <c r="E2" t="s">
        <v>12</v>
      </c>
      <c r="F2">
        <v>177827</v>
      </c>
      <c r="G2">
        <v>7671</v>
      </c>
      <c r="H2">
        <v>4395</v>
      </c>
      <c r="I2">
        <v>190</v>
      </c>
      <c r="J2">
        <v>4.3137431319999999</v>
      </c>
    </row>
    <row r="3" spans="1:10" x14ac:dyDescent="0.35">
      <c r="A3" t="s">
        <v>13</v>
      </c>
      <c r="B3" t="s">
        <v>13</v>
      </c>
      <c r="C3" t="s">
        <v>14</v>
      </c>
      <c r="D3">
        <v>2872296</v>
      </c>
      <c r="E3" t="s">
        <v>15</v>
      </c>
      <c r="F3">
        <v>273870</v>
      </c>
      <c r="G3">
        <v>3492</v>
      </c>
      <c r="H3">
        <v>95349</v>
      </c>
      <c r="I3">
        <v>1216</v>
      </c>
      <c r="J3">
        <v>1.275057509</v>
      </c>
    </row>
    <row r="4" spans="1:10" x14ac:dyDescent="0.35">
      <c r="A4" t="s">
        <v>16</v>
      </c>
      <c r="B4" t="s">
        <v>16</v>
      </c>
      <c r="C4" t="s">
        <v>17</v>
      </c>
      <c r="D4">
        <v>45236699</v>
      </c>
      <c r="E4" t="s">
        <v>18</v>
      </c>
      <c r="F4">
        <v>265691</v>
      </c>
      <c r="G4">
        <v>6874</v>
      </c>
      <c r="H4">
        <v>5873</v>
      </c>
      <c r="I4">
        <v>152</v>
      </c>
      <c r="J4">
        <v>2.587215976</v>
      </c>
    </row>
    <row r="5" spans="1:10" x14ac:dyDescent="0.35">
      <c r="A5" t="s">
        <v>19</v>
      </c>
      <c r="B5" t="s">
        <v>19</v>
      </c>
      <c r="C5" t="s">
        <v>20</v>
      </c>
      <c r="D5">
        <v>77481</v>
      </c>
      <c r="E5" t="s">
        <v>15</v>
      </c>
      <c r="F5">
        <v>40024</v>
      </c>
      <c r="G5">
        <v>153</v>
      </c>
      <c r="H5">
        <v>516565</v>
      </c>
      <c r="I5">
        <v>1975</v>
      </c>
      <c r="J5">
        <v>0.382270638</v>
      </c>
    </row>
    <row r="6" spans="1:10" x14ac:dyDescent="0.35">
      <c r="A6" t="s">
        <v>21</v>
      </c>
      <c r="B6" t="s">
        <v>21</v>
      </c>
      <c r="C6" t="s">
        <v>22</v>
      </c>
      <c r="D6">
        <v>34654212</v>
      </c>
      <c r="E6" t="s">
        <v>18</v>
      </c>
      <c r="F6">
        <v>99194</v>
      </c>
      <c r="G6">
        <v>1900</v>
      </c>
      <c r="H6">
        <v>2862</v>
      </c>
      <c r="I6">
        <v>55</v>
      </c>
      <c r="J6">
        <v>1.9154384339999999</v>
      </c>
    </row>
    <row r="7" spans="1:10" x14ac:dyDescent="0.35">
      <c r="A7" t="s">
        <v>23</v>
      </c>
      <c r="B7" t="s">
        <v>23</v>
      </c>
      <c r="C7" t="s">
        <v>24</v>
      </c>
      <c r="D7">
        <v>15237</v>
      </c>
      <c r="E7" t="s">
        <v>25</v>
      </c>
      <c r="F7">
        <v>2700</v>
      </c>
      <c r="G7">
        <v>9</v>
      </c>
      <c r="H7">
        <v>177200</v>
      </c>
      <c r="I7">
        <v>591</v>
      </c>
      <c r="J7">
        <v>0.33333333300000001</v>
      </c>
    </row>
    <row r="8" spans="1:10" x14ac:dyDescent="0.35">
      <c r="A8" t="s">
        <v>26</v>
      </c>
      <c r="B8" t="s">
        <v>26</v>
      </c>
      <c r="C8" t="s">
        <v>27</v>
      </c>
      <c r="D8">
        <v>99348</v>
      </c>
      <c r="E8" t="s">
        <v>25</v>
      </c>
      <c r="F8">
        <v>7493</v>
      </c>
      <c r="G8">
        <v>135</v>
      </c>
      <c r="H8">
        <v>75422</v>
      </c>
      <c r="I8">
        <v>1359</v>
      </c>
      <c r="J8">
        <v>1.8016815690000001</v>
      </c>
    </row>
    <row r="9" spans="1:10" x14ac:dyDescent="0.35">
      <c r="A9" t="s">
        <v>28</v>
      </c>
      <c r="B9" t="s">
        <v>28</v>
      </c>
      <c r="C9" t="s">
        <v>29</v>
      </c>
      <c r="D9">
        <v>45921761</v>
      </c>
      <c r="E9" t="s">
        <v>25</v>
      </c>
      <c r="F9">
        <v>9041124</v>
      </c>
      <c r="G9">
        <v>128065</v>
      </c>
      <c r="H9">
        <v>196881</v>
      </c>
      <c r="I9">
        <v>2789</v>
      </c>
      <c r="J9">
        <v>1.416472111</v>
      </c>
    </row>
    <row r="10" spans="1:10" x14ac:dyDescent="0.35">
      <c r="A10" t="s">
        <v>30</v>
      </c>
      <c r="B10" t="s">
        <v>30</v>
      </c>
      <c r="C10" t="s">
        <v>31</v>
      </c>
      <c r="D10">
        <v>2972939</v>
      </c>
      <c r="E10" t="s">
        <v>12</v>
      </c>
      <c r="F10">
        <v>422574</v>
      </c>
      <c r="G10">
        <v>8617</v>
      </c>
      <c r="H10">
        <v>142140</v>
      </c>
      <c r="I10">
        <v>2898</v>
      </c>
      <c r="J10">
        <v>2.0391694710000001</v>
      </c>
    </row>
    <row r="11" spans="1:10" x14ac:dyDescent="0.35">
      <c r="A11" t="s">
        <v>32</v>
      </c>
      <c r="B11" t="s">
        <v>32</v>
      </c>
      <c r="C11" t="s">
        <v>33</v>
      </c>
      <c r="D11">
        <v>107560</v>
      </c>
      <c r="E11" t="s">
        <v>25</v>
      </c>
      <c r="F11">
        <v>34051</v>
      </c>
      <c r="G11">
        <v>212</v>
      </c>
      <c r="H11">
        <v>316577</v>
      </c>
      <c r="I11">
        <v>1971</v>
      </c>
      <c r="J11">
        <v>0.62259551800000001</v>
      </c>
    </row>
    <row r="12" spans="1:10" x14ac:dyDescent="0.35">
      <c r="A12" t="s">
        <v>34</v>
      </c>
      <c r="B12" t="s">
        <v>34</v>
      </c>
      <c r="C12" t="s">
        <v>35</v>
      </c>
      <c r="D12">
        <v>26017767</v>
      </c>
      <c r="E12" t="s">
        <v>36</v>
      </c>
      <c r="F12">
        <v>4680816</v>
      </c>
      <c r="G12">
        <v>6384</v>
      </c>
      <c r="H12">
        <v>179908</v>
      </c>
      <c r="I12">
        <v>245</v>
      </c>
      <c r="J12">
        <v>0.13638647600000001</v>
      </c>
    </row>
    <row r="13" spans="1:10" x14ac:dyDescent="0.35">
      <c r="A13" t="s">
        <v>37</v>
      </c>
      <c r="B13" t="s">
        <v>37</v>
      </c>
      <c r="C13" t="s">
        <v>38</v>
      </c>
      <c r="D13">
        <v>9096360</v>
      </c>
      <c r="E13" t="s">
        <v>15</v>
      </c>
      <c r="F13">
        <v>3887355</v>
      </c>
      <c r="G13">
        <v>15985</v>
      </c>
      <c r="H13">
        <v>427353</v>
      </c>
      <c r="I13">
        <v>1757</v>
      </c>
      <c r="J13">
        <v>0.41120504800000002</v>
      </c>
    </row>
    <row r="14" spans="1:10" x14ac:dyDescent="0.35">
      <c r="A14" t="s">
        <v>39</v>
      </c>
      <c r="B14" t="s">
        <v>39</v>
      </c>
      <c r="C14" t="s">
        <v>40</v>
      </c>
      <c r="D14">
        <v>10299156</v>
      </c>
      <c r="E14" t="s">
        <v>12</v>
      </c>
      <c r="F14">
        <v>792061</v>
      </c>
      <c r="G14">
        <v>9697</v>
      </c>
      <c r="H14">
        <v>76905</v>
      </c>
      <c r="I14">
        <v>942</v>
      </c>
      <c r="J14">
        <v>1.224274393</v>
      </c>
    </row>
    <row r="15" spans="1:10" x14ac:dyDescent="0.35">
      <c r="A15" t="s">
        <v>41</v>
      </c>
      <c r="B15" t="s">
        <v>41</v>
      </c>
      <c r="C15" t="s">
        <v>42</v>
      </c>
      <c r="D15">
        <v>399822</v>
      </c>
      <c r="E15" t="s">
        <v>25</v>
      </c>
      <c r="F15">
        <v>33295</v>
      </c>
      <c r="G15">
        <v>788</v>
      </c>
      <c r="H15">
        <v>83275</v>
      </c>
      <c r="I15">
        <v>1971</v>
      </c>
      <c r="J15">
        <v>2.3667217300000001</v>
      </c>
    </row>
    <row r="16" spans="1:10" x14ac:dyDescent="0.35">
      <c r="A16" t="s">
        <v>43</v>
      </c>
      <c r="B16" t="s">
        <v>43</v>
      </c>
      <c r="C16" t="s">
        <v>44</v>
      </c>
      <c r="D16">
        <v>1804995</v>
      </c>
      <c r="E16" t="s">
        <v>12</v>
      </c>
      <c r="F16">
        <v>556241</v>
      </c>
      <c r="G16">
        <v>1471</v>
      </c>
      <c r="H16">
        <v>308168</v>
      </c>
      <c r="I16">
        <v>815</v>
      </c>
      <c r="J16">
        <v>0.26445371699999998</v>
      </c>
    </row>
    <row r="17" spans="1:10" x14ac:dyDescent="0.35">
      <c r="A17" t="s">
        <v>45</v>
      </c>
      <c r="B17" t="s">
        <v>45</v>
      </c>
      <c r="C17" t="s">
        <v>46</v>
      </c>
      <c r="D17">
        <v>167561502</v>
      </c>
      <c r="E17" t="s">
        <v>12</v>
      </c>
      <c r="F17">
        <v>1951770</v>
      </c>
      <c r="G17">
        <v>29122</v>
      </c>
      <c r="H17">
        <v>11648</v>
      </c>
      <c r="I17">
        <v>174</v>
      </c>
      <c r="J17">
        <v>1.4920815460000001</v>
      </c>
    </row>
    <row r="18" spans="1:10" x14ac:dyDescent="0.35">
      <c r="A18" t="s">
        <v>47</v>
      </c>
      <c r="B18" t="s">
        <v>47</v>
      </c>
      <c r="C18" t="s">
        <v>48</v>
      </c>
      <c r="D18">
        <v>287991</v>
      </c>
      <c r="E18" t="s">
        <v>25</v>
      </c>
      <c r="F18">
        <v>59938</v>
      </c>
      <c r="G18">
        <v>375</v>
      </c>
      <c r="H18">
        <v>208125</v>
      </c>
      <c r="I18">
        <v>1302</v>
      </c>
      <c r="J18">
        <v>0.62564650099999997</v>
      </c>
    </row>
    <row r="19" spans="1:10" x14ac:dyDescent="0.35">
      <c r="A19" t="s">
        <v>49</v>
      </c>
      <c r="B19" t="s">
        <v>49</v>
      </c>
      <c r="C19" t="s">
        <v>50</v>
      </c>
      <c r="D19">
        <v>9443882</v>
      </c>
      <c r="E19" t="s">
        <v>15</v>
      </c>
      <c r="F19">
        <v>965322</v>
      </c>
      <c r="G19">
        <v>6844</v>
      </c>
      <c r="H19">
        <v>102217</v>
      </c>
      <c r="I19">
        <v>725</v>
      </c>
      <c r="J19">
        <v>0.708986224</v>
      </c>
    </row>
    <row r="20" spans="1:10" x14ac:dyDescent="0.35">
      <c r="A20" t="s">
        <v>51</v>
      </c>
      <c r="B20" t="s">
        <v>51</v>
      </c>
      <c r="C20" t="s">
        <v>52</v>
      </c>
      <c r="D20">
        <v>11677924</v>
      </c>
      <c r="E20" t="s">
        <v>15</v>
      </c>
      <c r="F20">
        <v>3851048</v>
      </c>
      <c r="G20">
        <v>30826</v>
      </c>
      <c r="H20">
        <v>329772</v>
      </c>
      <c r="I20">
        <v>2640</v>
      </c>
      <c r="J20">
        <v>0.80045743400000002</v>
      </c>
    </row>
    <row r="21" spans="1:10" x14ac:dyDescent="0.35">
      <c r="A21" t="s">
        <v>53</v>
      </c>
      <c r="B21" t="s">
        <v>53</v>
      </c>
      <c r="C21" t="s">
        <v>54</v>
      </c>
      <c r="D21">
        <v>410260</v>
      </c>
      <c r="E21" t="s">
        <v>25</v>
      </c>
      <c r="F21">
        <v>57289</v>
      </c>
      <c r="G21">
        <v>656</v>
      </c>
      <c r="H21">
        <v>139641</v>
      </c>
      <c r="I21">
        <v>1599</v>
      </c>
      <c r="J21">
        <v>1.1450714799999999</v>
      </c>
    </row>
    <row r="22" spans="1:10" x14ac:dyDescent="0.35">
      <c r="A22" t="s">
        <v>55</v>
      </c>
      <c r="B22" t="s">
        <v>55</v>
      </c>
      <c r="C22" t="s">
        <v>56</v>
      </c>
      <c r="D22">
        <v>12678649</v>
      </c>
      <c r="E22" t="s">
        <v>18</v>
      </c>
      <c r="F22">
        <v>26952</v>
      </c>
      <c r="G22">
        <v>163</v>
      </c>
      <c r="H22">
        <v>2126</v>
      </c>
      <c r="I22">
        <v>13</v>
      </c>
      <c r="J22">
        <v>0.60477886599999997</v>
      </c>
    </row>
    <row r="23" spans="1:10" x14ac:dyDescent="0.35">
      <c r="A23" t="s">
        <v>57</v>
      </c>
      <c r="B23" t="s">
        <v>57</v>
      </c>
      <c r="C23" t="s">
        <v>58</v>
      </c>
      <c r="D23">
        <v>61875</v>
      </c>
      <c r="E23" t="s">
        <v>59</v>
      </c>
      <c r="F23">
        <v>12564</v>
      </c>
      <c r="G23">
        <v>128</v>
      </c>
      <c r="H23">
        <v>203055</v>
      </c>
      <c r="I23">
        <v>2069</v>
      </c>
      <c r="J23">
        <v>1.018783827</v>
      </c>
    </row>
    <row r="24" spans="1:10" x14ac:dyDescent="0.35">
      <c r="A24" t="s">
        <v>60</v>
      </c>
      <c r="B24" t="s">
        <v>60</v>
      </c>
      <c r="C24" t="s">
        <v>61</v>
      </c>
      <c r="D24">
        <v>786480</v>
      </c>
      <c r="E24" t="s">
        <v>12</v>
      </c>
      <c r="F24">
        <v>31437</v>
      </c>
      <c r="G24">
        <v>12</v>
      </c>
      <c r="H24">
        <v>39972</v>
      </c>
      <c r="I24">
        <v>15</v>
      </c>
      <c r="J24">
        <v>3.8171581000000003E-2</v>
      </c>
    </row>
    <row r="25" spans="1:10" x14ac:dyDescent="0.35">
      <c r="A25" t="s">
        <v>62</v>
      </c>
      <c r="B25" t="s">
        <v>63</v>
      </c>
      <c r="C25" t="s">
        <v>64</v>
      </c>
      <c r="D25">
        <v>11951714</v>
      </c>
      <c r="E25" t="s">
        <v>25</v>
      </c>
      <c r="F25">
        <v>902448</v>
      </c>
      <c r="G25">
        <v>21896</v>
      </c>
      <c r="H25">
        <v>75508</v>
      </c>
      <c r="I25">
        <v>1832</v>
      </c>
      <c r="J25">
        <v>2.4262893820000002</v>
      </c>
    </row>
    <row r="26" spans="1:10" x14ac:dyDescent="0.35">
      <c r="A26" t="s">
        <v>65</v>
      </c>
      <c r="B26" t="s">
        <v>65</v>
      </c>
      <c r="C26" t="s">
        <v>66</v>
      </c>
      <c r="D26">
        <v>3245097</v>
      </c>
      <c r="E26" t="s">
        <v>15</v>
      </c>
      <c r="F26">
        <v>375693</v>
      </c>
      <c r="G26">
        <v>15719</v>
      </c>
      <c r="H26">
        <v>115773</v>
      </c>
      <c r="I26">
        <v>4844</v>
      </c>
      <c r="J26">
        <v>4.1840012990000002</v>
      </c>
    </row>
    <row r="27" spans="1:10" x14ac:dyDescent="0.35">
      <c r="A27" t="s">
        <v>67</v>
      </c>
      <c r="B27" t="s">
        <v>67</v>
      </c>
      <c r="C27" t="s">
        <v>68</v>
      </c>
      <c r="D27">
        <v>2434708</v>
      </c>
      <c r="E27" t="s">
        <v>18</v>
      </c>
      <c r="F27">
        <v>305526</v>
      </c>
      <c r="G27">
        <v>2686</v>
      </c>
      <c r="H27">
        <v>125488</v>
      </c>
      <c r="I27">
        <v>1103</v>
      </c>
      <c r="J27">
        <v>0.87913958199999998</v>
      </c>
    </row>
    <row r="28" spans="1:10" x14ac:dyDescent="0.35">
      <c r="A28" t="s">
        <v>69</v>
      </c>
      <c r="B28" t="s">
        <v>69</v>
      </c>
      <c r="C28" t="s">
        <v>70</v>
      </c>
      <c r="D28">
        <v>215204501</v>
      </c>
      <c r="E28" t="s">
        <v>25</v>
      </c>
      <c r="F28">
        <v>29999816</v>
      </c>
      <c r="G28">
        <v>660269</v>
      </c>
      <c r="H28">
        <v>139401</v>
      </c>
      <c r="I28">
        <v>3068</v>
      </c>
      <c r="J28">
        <v>2.2009101659999999</v>
      </c>
    </row>
    <row r="29" spans="1:10" x14ac:dyDescent="0.35">
      <c r="A29" t="s">
        <v>71</v>
      </c>
      <c r="B29" t="s">
        <v>71</v>
      </c>
      <c r="C29" t="s">
        <v>72</v>
      </c>
      <c r="D29">
        <v>30583</v>
      </c>
      <c r="E29" t="s">
        <v>25</v>
      </c>
      <c r="F29">
        <v>6155</v>
      </c>
      <c r="G29">
        <v>62</v>
      </c>
      <c r="H29">
        <v>201256</v>
      </c>
      <c r="I29">
        <v>2027</v>
      </c>
      <c r="J29">
        <v>1.0073111290000001</v>
      </c>
    </row>
    <row r="30" spans="1:10" x14ac:dyDescent="0.35">
      <c r="A30" t="s">
        <v>73</v>
      </c>
      <c r="B30" t="s">
        <v>74</v>
      </c>
      <c r="C30" t="s">
        <v>75</v>
      </c>
      <c r="D30">
        <v>444812</v>
      </c>
      <c r="E30" t="s">
        <v>12</v>
      </c>
      <c r="F30">
        <v>135974</v>
      </c>
      <c r="G30">
        <v>213</v>
      </c>
      <c r="H30">
        <v>305689</v>
      </c>
      <c r="I30">
        <v>479</v>
      </c>
      <c r="J30">
        <v>0.156647594</v>
      </c>
    </row>
    <row r="31" spans="1:10" x14ac:dyDescent="0.35">
      <c r="A31" t="s">
        <v>76</v>
      </c>
      <c r="B31" t="s">
        <v>76</v>
      </c>
      <c r="C31" t="s">
        <v>77</v>
      </c>
      <c r="D31">
        <v>6856886</v>
      </c>
      <c r="E31" t="s">
        <v>15</v>
      </c>
      <c r="F31">
        <v>1140679</v>
      </c>
      <c r="G31">
        <v>36568</v>
      </c>
      <c r="H31">
        <v>166355</v>
      </c>
      <c r="I31">
        <v>5333</v>
      </c>
      <c r="J31">
        <v>3.2058098730000002</v>
      </c>
    </row>
    <row r="32" spans="1:10" x14ac:dyDescent="0.35">
      <c r="A32" t="s">
        <v>78</v>
      </c>
      <c r="B32" t="s">
        <v>78</v>
      </c>
      <c r="C32" t="s">
        <v>79</v>
      </c>
      <c r="D32">
        <v>21905848</v>
      </c>
      <c r="E32" t="s">
        <v>18</v>
      </c>
      <c r="F32">
        <v>20853</v>
      </c>
      <c r="G32">
        <v>382</v>
      </c>
      <c r="H32">
        <v>952</v>
      </c>
      <c r="I32">
        <v>17</v>
      </c>
      <c r="J32">
        <v>1.8318707139999999</v>
      </c>
    </row>
    <row r="33" spans="1:10" x14ac:dyDescent="0.35">
      <c r="A33" t="s">
        <v>80</v>
      </c>
      <c r="B33" t="s">
        <v>80</v>
      </c>
      <c r="C33" t="s">
        <v>81</v>
      </c>
      <c r="D33">
        <v>12510155</v>
      </c>
      <c r="E33" t="s">
        <v>18</v>
      </c>
      <c r="F33">
        <v>38519</v>
      </c>
      <c r="G33">
        <v>38</v>
      </c>
      <c r="H33">
        <v>3079</v>
      </c>
      <c r="I33">
        <v>3</v>
      </c>
      <c r="J33">
        <v>9.8652613E-2</v>
      </c>
    </row>
    <row r="34" spans="1:10" x14ac:dyDescent="0.35">
      <c r="A34" t="s">
        <v>82</v>
      </c>
      <c r="B34" t="s">
        <v>82</v>
      </c>
      <c r="C34" t="s">
        <v>83</v>
      </c>
      <c r="D34">
        <v>566557</v>
      </c>
      <c r="E34" t="s">
        <v>18</v>
      </c>
      <c r="F34">
        <v>55960</v>
      </c>
      <c r="G34">
        <v>401</v>
      </c>
      <c r="H34">
        <v>98772</v>
      </c>
      <c r="I34">
        <v>708</v>
      </c>
      <c r="J34">
        <v>0.71658327399999999</v>
      </c>
    </row>
    <row r="35" spans="1:10" x14ac:dyDescent="0.35">
      <c r="A35" t="s">
        <v>84</v>
      </c>
      <c r="B35" t="s">
        <v>84</v>
      </c>
      <c r="C35" t="s">
        <v>85</v>
      </c>
      <c r="D35">
        <v>17123941</v>
      </c>
      <c r="E35" t="s">
        <v>12</v>
      </c>
      <c r="F35">
        <v>135747</v>
      </c>
      <c r="G35">
        <v>3054</v>
      </c>
      <c r="H35">
        <v>7927</v>
      </c>
      <c r="I35">
        <v>178</v>
      </c>
      <c r="J35">
        <v>2.2497734760000001</v>
      </c>
    </row>
    <row r="36" spans="1:10" x14ac:dyDescent="0.35">
      <c r="A36" t="s">
        <v>86</v>
      </c>
      <c r="B36" t="s">
        <v>86</v>
      </c>
      <c r="C36" t="s">
        <v>87</v>
      </c>
      <c r="D36">
        <v>27701805</v>
      </c>
      <c r="E36" t="s">
        <v>18</v>
      </c>
      <c r="F36">
        <v>119544</v>
      </c>
      <c r="G36">
        <v>1927</v>
      </c>
      <c r="H36">
        <v>4315</v>
      </c>
      <c r="I36">
        <v>70</v>
      </c>
      <c r="J36">
        <v>1.6119587769999999</v>
      </c>
    </row>
    <row r="37" spans="1:10" x14ac:dyDescent="0.35">
      <c r="A37" t="s">
        <v>88</v>
      </c>
      <c r="B37" t="s">
        <v>88</v>
      </c>
      <c r="C37" t="s">
        <v>89</v>
      </c>
      <c r="D37">
        <v>38321435</v>
      </c>
      <c r="E37" t="s">
        <v>59</v>
      </c>
      <c r="F37">
        <v>3499226</v>
      </c>
      <c r="G37">
        <v>37690</v>
      </c>
      <c r="H37">
        <v>91312</v>
      </c>
      <c r="I37">
        <v>984</v>
      </c>
      <c r="J37">
        <v>1.0770953350000001</v>
      </c>
    </row>
    <row r="38" spans="1:10" x14ac:dyDescent="0.35">
      <c r="A38" t="s">
        <v>91</v>
      </c>
      <c r="B38" t="s">
        <v>91</v>
      </c>
      <c r="C38" t="s">
        <v>92</v>
      </c>
      <c r="D38">
        <v>4976719</v>
      </c>
      <c r="E38" t="s">
        <v>18</v>
      </c>
      <c r="F38">
        <v>14649</v>
      </c>
      <c r="G38">
        <v>113</v>
      </c>
      <c r="H38">
        <v>2944</v>
      </c>
      <c r="I38">
        <v>23</v>
      </c>
      <c r="J38">
        <v>0.771383712</v>
      </c>
    </row>
    <row r="39" spans="1:10" x14ac:dyDescent="0.35">
      <c r="A39" t="s">
        <v>93</v>
      </c>
      <c r="B39" t="s">
        <v>94</v>
      </c>
      <c r="C39" t="s">
        <v>95</v>
      </c>
      <c r="D39">
        <v>26650</v>
      </c>
      <c r="E39" t="s">
        <v>25</v>
      </c>
      <c r="F39">
        <v>8574</v>
      </c>
      <c r="G39">
        <v>33</v>
      </c>
      <c r="H39">
        <v>321726</v>
      </c>
      <c r="I39">
        <v>1238</v>
      </c>
      <c r="J39">
        <v>0.38488453500000003</v>
      </c>
    </row>
    <row r="40" spans="1:10" x14ac:dyDescent="0.35">
      <c r="A40" t="s">
        <v>96</v>
      </c>
      <c r="B40" t="s">
        <v>96</v>
      </c>
      <c r="C40" t="s">
        <v>97</v>
      </c>
      <c r="D40">
        <v>67073</v>
      </c>
      <c r="E40" t="s">
        <v>25</v>
      </c>
      <c r="F40">
        <v>20606</v>
      </c>
      <c r="G40">
        <v>24</v>
      </c>
      <c r="H40">
        <v>307218</v>
      </c>
      <c r="I40">
        <v>358</v>
      </c>
      <c r="J40">
        <v>0.116470931</v>
      </c>
    </row>
    <row r="41" spans="1:10" x14ac:dyDescent="0.35">
      <c r="A41" t="s">
        <v>98</v>
      </c>
      <c r="B41" t="s">
        <v>98</v>
      </c>
      <c r="C41" t="s">
        <v>99</v>
      </c>
      <c r="D41">
        <v>17250246</v>
      </c>
      <c r="E41" t="s">
        <v>18</v>
      </c>
      <c r="F41">
        <v>7308</v>
      </c>
      <c r="G41">
        <v>191</v>
      </c>
      <c r="H41">
        <v>424</v>
      </c>
      <c r="I41">
        <v>11</v>
      </c>
      <c r="J41">
        <v>2.6135741650000002</v>
      </c>
    </row>
    <row r="42" spans="1:10" x14ac:dyDescent="0.35">
      <c r="A42" t="s">
        <v>100</v>
      </c>
      <c r="B42" t="s">
        <v>101</v>
      </c>
      <c r="C42" t="s">
        <v>102</v>
      </c>
      <c r="D42">
        <v>176668</v>
      </c>
      <c r="E42" t="s">
        <v>15</v>
      </c>
      <c r="F42">
        <v>69036</v>
      </c>
      <c r="G42">
        <v>156</v>
      </c>
      <c r="H42">
        <v>390767</v>
      </c>
      <c r="I42">
        <v>883</v>
      </c>
      <c r="J42">
        <v>0.22596906</v>
      </c>
    </row>
    <row r="43" spans="1:10" x14ac:dyDescent="0.35">
      <c r="A43" t="s">
        <v>103</v>
      </c>
      <c r="B43" t="s">
        <v>103</v>
      </c>
      <c r="C43" t="s">
        <v>104</v>
      </c>
      <c r="D43">
        <v>19403451</v>
      </c>
      <c r="E43" t="s">
        <v>25</v>
      </c>
      <c r="F43">
        <v>3486653</v>
      </c>
      <c r="G43">
        <v>56750</v>
      </c>
      <c r="H43">
        <v>179692</v>
      </c>
      <c r="I43">
        <v>2925</v>
      </c>
      <c r="J43">
        <v>1.627635443</v>
      </c>
    </row>
    <row r="44" spans="1:10" x14ac:dyDescent="0.35">
      <c r="A44" t="s">
        <v>105</v>
      </c>
      <c r="B44" t="s">
        <v>105</v>
      </c>
      <c r="C44" t="s">
        <v>106</v>
      </c>
      <c r="D44">
        <v>1439323776</v>
      </c>
      <c r="E44" t="s">
        <v>12</v>
      </c>
      <c r="F44">
        <v>154738</v>
      </c>
      <c r="G44">
        <v>4638</v>
      </c>
      <c r="H44">
        <v>108</v>
      </c>
      <c r="I44">
        <v>3</v>
      </c>
      <c r="J44">
        <v>2.9973245099999999</v>
      </c>
    </row>
    <row r="45" spans="1:10" x14ac:dyDescent="0.35">
      <c r="A45" t="s">
        <v>107</v>
      </c>
      <c r="B45" t="s">
        <v>107</v>
      </c>
      <c r="C45" t="s">
        <v>108</v>
      </c>
      <c r="D45">
        <v>51832231</v>
      </c>
      <c r="E45" t="s">
        <v>25</v>
      </c>
      <c r="F45">
        <v>6085926</v>
      </c>
      <c r="G45">
        <v>139660</v>
      </c>
      <c r="H45">
        <v>117416</v>
      </c>
      <c r="I45">
        <v>2694</v>
      </c>
      <c r="J45">
        <v>2.2948027959999999</v>
      </c>
    </row>
    <row r="46" spans="1:10" x14ac:dyDescent="0.35">
      <c r="A46" t="s">
        <v>109</v>
      </c>
      <c r="B46" t="s">
        <v>109</v>
      </c>
      <c r="C46" t="s">
        <v>110</v>
      </c>
      <c r="D46">
        <v>902011</v>
      </c>
      <c r="E46" t="s">
        <v>18</v>
      </c>
      <c r="F46">
        <v>8093</v>
      </c>
      <c r="G46">
        <v>160</v>
      </c>
      <c r="H46">
        <v>8972</v>
      </c>
      <c r="I46">
        <v>177</v>
      </c>
      <c r="J46">
        <v>1.9770171750000001</v>
      </c>
    </row>
    <row r="47" spans="1:10" x14ac:dyDescent="0.35">
      <c r="A47" t="s">
        <v>111</v>
      </c>
      <c r="B47" t="s">
        <v>111</v>
      </c>
      <c r="C47" t="s">
        <v>112</v>
      </c>
      <c r="D47">
        <v>5755689</v>
      </c>
      <c r="E47" t="s">
        <v>18</v>
      </c>
      <c r="F47">
        <v>24071</v>
      </c>
      <c r="G47">
        <v>385</v>
      </c>
      <c r="H47">
        <v>4182</v>
      </c>
      <c r="I47">
        <v>67</v>
      </c>
      <c r="J47">
        <v>1.5994350049999999</v>
      </c>
    </row>
    <row r="48" spans="1:10" x14ac:dyDescent="0.35">
      <c r="A48" t="s">
        <v>113</v>
      </c>
      <c r="B48" t="s">
        <v>113</v>
      </c>
      <c r="C48" t="s">
        <v>114</v>
      </c>
      <c r="D48">
        <v>17592</v>
      </c>
      <c r="E48" t="s">
        <v>36</v>
      </c>
      <c r="F48">
        <v>2118</v>
      </c>
      <c r="G48">
        <v>0</v>
      </c>
      <c r="H48">
        <v>120396</v>
      </c>
      <c r="I48">
        <v>0</v>
      </c>
      <c r="J48">
        <v>0</v>
      </c>
    </row>
    <row r="49" spans="1:10" x14ac:dyDescent="0.35">
      <c r="A49" t="s">
        <v>115</v>
      </c>
      <c r="B49" t="s">
        <v>115</v>
      </c>
      <c r="C49" t="s">
        <v>116</v>
      </c>
      <c r="D49">
        <v>5175547</v>
      </c>
      <c r="E49" t="s">
        <v>25</v>
      </c>
      <c r="F49">
        <v>839368</v>
      </c>
      <c r="G49">
        <v>8308</v>
      </c>
      <c r="H49">
        <v>162180</v>
      </c>
      <c r="I49">
        <v>1605</v>
      </c>
      <c r="J49">
        <v>0.98979231999999995</v>
      </c>
    </row>
    <row r="50" spans="1:10" x14ac:dyDescent="0.35">
      <c r="A50" t="s">
        <v>117</v>
      </c>
      <c r="B50" t="s">
        <v>117</v>
      </c>
      <c r="C50" t="s">
        <v>118</v>
      </c>
      <c r="D50">
        <v>4060951</v>
      </c>
      <c r="E50" t="s">
        <v>15</v>
      </c>
      <c r="F50">
        <v>1102730</v>
      </c>
      <c r="G50">
        <v>15601</v>
      </c>
      <c r="H50">
        <v>271545</v>
      </c>
      <c r="I50">
        <v>3842</v>
      </c>
      <c r="J50">
        <v>1.414761546</v>
      </c>
    </row>
    <row r="51" spans="1:10" x14ac:dyDescent="0.35">
      <c r="A51" t="s">
        <v>119</v>
      </c>
      <c r="B51" t="s">
        <v>119</v>
      </c>
      <c r="C51" t="s">
        <v>120</v>
      </c>
      <c r="D51">
        <v>11314513</v>
      </c>
      <c r="E51" t="s">
        <v>25</v>
      </c>
      <c r="F51">
        <v>1092547</v>
      </c>
      <c r="G51">
        <v>8514</v>
      </c>
      <c r="H51">
        <v>96562</v>
      </c>
      <c r="I51">
        <v>752</v>
      </c>
      <c r="J51">
        <v>0.77927997599999999</v>
      </c>
    </row>
    <row r="52" spans="1:10" x14ac:dyDescent="0.35">
      <c r="A52" t="s">
        <v>121</v>
      </c>
      <c r="B52" t="s">
        <v>121</v>
      </c>
      <c r="C52" t="s">
        <v>122</v>
      </c>
      <c r="D52">
        <v>165268</v>
      </c>
      <c r="E52" t="s">
        <v>25</v>
      </c>
      <c r="F52">
        <v>40671</v>
      </c>
      <c r="G52">
        <v>267</v>
      </c>
      <c r="H52">
        <v>246091</v>
      </c>
      <c r="I52">
        <v>1616</v>
      </c>
      <c r="J52">
        <v>0.65648742299999996</v>
      </c>
    </row>
    <row r="53" spans="1:10" x14ac:dyDescent="0.35">
      <c r="A53" t="s">
        <v>123</v>
      </c>
      <c r="B53" t="s">
        <v>123</v>
      </c>
      <c r="C53" t="s">
        <v>124</v>
      </c>
      <c r="D53">
        <v>1222745</v>
      </c>
      <c r="E53" t="s">
        <v>12</v>
      </c>
      <c r="F53">
        <v>439964</v>
      </c>
      <c r="G53">
        <v>947</v>
      </c>
      <c r="H53">
        <v>359817</v>
      </c>
      <c r="I53">
        <v>774</v>
      </c>
      <c r="J53">
        <v>0.215244884</v>
      </c>
    </row>
    <row r="54" spans="1:10" x14ac:dyDescent="0.35">
      <c r="A54" t="s">
        <v>125</v>
      </c>
      <c r="B54" t="s">
        <v>126</v>
      </c>
      <c r="C54" t="s">
        <v>127</v>
      </c>
      <c r="D54">
        <v>10743762</v>
      </c>
      <c r="E54" t="s">
        <v>15</v>
      </c>
      <c r="F54">
        <v>3830631</v>
      </c>
      <c r="G54">
        <v>39720</v>
      </c>
      <c r="H54">
        <v>356545</v>
      </c>
      <c r="I54">
        <v>3697</v>
      </c>
      <c r="J54">
        <v>1.0369048860000001</v>
      </c>
    </row>
    <row r="55" spans="1:10" x14ac:dyDescent="0.35">
      <c r="A55" t="s">
        <v>128</v>
      </c>
      <c r="B55" t="s">
        <v>128</v>
      </c>
      <c r="C55" t="s">
        <v>129</v>
      </c>
      <c r="D55">
        <v>5827911</v>
      </c>
      <c r="E55" t="s">
        <v>15</v>
      </c>
      <c r="F55">
        <v>2919428</v>
      </c>
      <c r="G55">
        <v>5762</v>
      </c>
      <c r="H55">
        <v>500939</v>
      </c>
      <c r="I55">
        <v>989</v>
      </c>
      <c r="J55">
        <v>0.19736743000000001</v>
      </c>
    </row>
    <row r="56" spans="1:10" x14ac:dyDescent="0.35">
      <c r="A56" t="s">
        <v>130</v>
      </c>
      <c r="B56" t="s">
        <v>130</v>
      </c>
      <c r="C56" t="s">
        <v>131</v>
      </c>
      <c r="D56">
        <v>1013146</v>
      </c>
      <c r="E56" t="s">
        <v>18</v>
      </c>
      <c r="F56">
        <v>15590</v>
      </c>
      <c r="G56">
        <v>189</v>
      </c>
      <c r="H56">
        <v>15388</v>
      </c>
      <c r="I56">
        <v>187</v>
      </c>
      <c r="J56">
        <v>1.212315587</v>
      </c>
    </row>
    <row r="57" spans="1:10" x14ac:dyDescent="0.35">
      <c r="A57" t="s">
        <v>132</v>
      </c>
      <c r="B57" t="s">
        <v>132</v>
      </c>
      <c r="C57" t="s">
        <v>133</v>
      </c>
      <c r="D57">
        <v>72299</v>
      </c>
      <c r="E57" t="s">
        <v>25</v>
      </c>
      <c r="F57">
        <v>11891</v>
      </c>
      <c r="G57">
        <v>63</v>
      </c>
      <c r="H57">
        <v>164470</v>
      </c>
      <c r="I57">
        <v>871</v>
      </c>
      <c r="J57">
        <v>0.52981246299999996</v>
      </c>
    </row>
    <row r="58" spans="1:10" x14ac:dyDescent="0.35">
      <c r="A58" t="s">
        <v>134</v>
      </c>
      <c r="B58" t="s">
        <v>134</v>
      </c>
      <c r="C58" t="s">
        <v>135</v>
      </c>
      <c r="D58">
        <v>11038333</v>
      </c>
      <c r="E58" t="s">
        <v>25</v>
      </c>
      <c r="F58">
        <v>578130</v>
      </c>
      <c r="G58">
        <v>4375</v>
      </c>
      <c r="H58">
        <v>52375</v>
      </c>
      <c r="I58">
        <v>396</v>
      </c>
      <c r="J58">
        <v>0.75675021200000003</v>
      </c>
    </row>
    <row r="59" spans="1:10" x14ac:dyDescent="0.35">
      <c r="A59" t="s">
        <v>136</v>
      </c>
      <c r="B59" t="s">
        <v>136</v>
      </c>
      <c r="C59" t="s">
        <v>137</v>
      </c>
      <c r="D59">
        <v>94323344</v>
      </c>
      <c r="E59" t="s">
        <v>18</v>
      </c>
      <c r="F59">
        <v>86748</v>
      </c>
      <c r="G59">
        <v>1337</v>
      </c>
      <c r="H59">
        <v>920</v>
      </c>
      <c r="I59">
        <v>14</v>
      </c>
      <c r="J59">
        <v>1.5412459080000001</v>
      </c>
    </row>
    <row r="60" spans="1:10" x14ac:dyDescent="0.35">
      <c r="A60" t="s">
        <v>138</v>
      </c>
      <c r="B60" t="s">
        <v>138</v>
      </c>
      <c r="C60" t="s">
        <v>139</v>
      </c>
      <c r="D60">
        <v>18111933</v>
      </c>
      <c r="E60" t="s">
        <v>25</v>
      </c>
      <c r="F60">
        <v>859890</v>
      </c>
      <c r="G60">
        <v>35421</v>
      </c>
      <c r="H60">
        <v>47476</v>
      </c>
      <c r="I60">
        <v>1956</v>
      </c>
      <c r="J60">
        <v>4.1192478110000001</v>
      </c>
    </row>
    <row r="61" spans="1:10" x14ac:dyDescent="0.35">
      <c r="A61" t="s">
        <v>140</v>
      </c>
      <c r="B61" t="s">
        <v>140</v>
      </c>
      <c r="C61" t="s">
        <v>141</v>
      </c>
      <c r="D61">
        <v>105711844</v>
      </c>
      <c r="E61" t="s">
        <v>18</v>
      </c>
      <c r="F61">
        <v>505264</v>
      </c>
      <c r="G61">
        <v>24417</v>
      </c>
      <c r="H61">
        <v>4780</v>
      </c>
      <c r="I61">
        <v>231</v>
      </c>
      <c r="J61">
        <v>4.8325231960000004</v>
      </c>
    </row>
    <row r="62" spans="1:10" x14ac:dyDescent="0.35">
      <c r="A62" t="s">
        <v>142</v>
      </c>
      <c r="B62" t="s">
        <v>142</v>
      </c>
      <c r="C62" t="s">
        <v>143</v>
      </c>
      <c r="D62">
        <v>6543499</v>
      </c>
      <c r="E62" t="s">
        <v>25</v>
      </c>
      <c r="F62">
        <v>161570</v>
      </c>
      <c r="G62">
        <v>4120</v>
      </c>
      <c r="H62">
        <v>24692</v>
      </c>
      <c r="I62">
        <v>630</v>
      </c>
      <c r="J62">
        <v>2.5499783379999998</v>
      </c>
    </row>
    <row r="63" spans="1:10" x14ac:dyDescent="0.35">
      <c r="A63" t="s">
        <v>144</v>
      </c>
      <c r="B63" t="s">
        <v>144</v>
      </c>
      <c r="C63" t="s">
        <v>145</v>
      </c>
      <c r="D63">
        <v>1483588</v>
      </c>
      <c r="E63" t="s">
        <v>18</v>
      </c>
      <c r="F63">
        <v>15903</v>
      </c>
      <c r="G63">
        <v>183</v>
      </c>
      <c r="H63">
        <v>10719</v>
      </c>
      <c r="I63">
        <v>123</v>
      </c>
      <c r="J63">
        <v>1.150726278</v>
      </c>
    </row>
    <row r="64" spans="1:10" x14ac:dyDescent="0.35">
      <c r="A64" t="s">
        <v>146</v>
      </c>
      <c r="B64" t="s">
        <v>146</v>
      </c>
      <c r="C64" t="s">
        <v>147</v>
      </c>
      <c r="D64">
        <v>3632329</v>
      </c>
      <c r="E64" t="s">
        <v>18</v>
      </c>
      <c r="F64">
        <v>9728</v>
      </c>
      <c r="G64">
        <v>103</v>
      </c>
      <c r="H64">
        <v>2678</v>
      </c>
      <c r="I64">
        <v>28</v>
      </c>
      <c r="J64">
        <v>1.0587993419999999</v>
      </c>
    </row>
    <row r="65" spans="1:10" x14ac:dyDescent="0.35">
      <c r="A65" t="s">
        <v>148</v>
      </c>
      <c r="B65" t="s">
        <v>148</v>
      </c>
      <c r="C65" t="s">
        <v>149</v>
      </c>
      <c r="D65">
        <v>1328097</v>
      </c>
      <c r="E65" t="s">
        <v>15</v>
      </c>
      <c r="F65">
        <v>558706</v>
      </c>
      <c r="G65">
        <v>2468</v>
      </c>
      <c r="H65">
        <v>420682</v>
      </c>
      <c r="I65">
        <v>1858</v>
      </c>
      <c r="J65">
        <v>0.44173500900000001</v>
      </c>
    </row>
    <row r="66" spans="1:10" x14ac:dyDescent="0.35">
      <c r="A66" t="s">
        <v>150</v>
      </c>
      <c r="B66" t="s">
        <v>150</v>
      </c>
      <c r="C66" t="s">
        <v>151</v>
      </c>
      <c r="D66">
        <v>1181191</v>
      </c>
      <c r="E66" t="s">
        <v>18</v>
      </c>
      <c r="F66">
        <v>69851</v>
      </c>
      <c r="G66">
        <v>1394</v>
      </c>
      <c r="H66">
        <v>59136</v>
      </c>
      <c r="I66">
        <v>1180</v>
      </c>
      <c r="J66">
        <v>1.9956765110000001</v>
      </c>
    </row>
    <row r="67" spans="1:10" x14ac:dyDescent="0.35">
      <c r="A67" t="s">
        <v>152</v>
      </c>
      <c r="B67" t="s">
        <v>152</v>
      </c>
      <c r="C67" t="s">
        <v>153</v>
      </c>
      <c r="D67">
        <v>119945147</v>
      </c>
      <c r="E67" t="s">
        <v>18</v>
      </c>
      <c r="F67">
        <v>469819</v>
      </c>
      <c r="G67">
        <v>7504</v>
      </c>
      <c r="H67">
        <v>3917</v>
      </c>
      <c r="I67">
        <v>63</v>
      </c>
      <c r="J67">
        <v>1.5972108410000001</v>
      </c>
    </row>
    <row r="68" spans="1:10" x14ac:dyDescent="0.35">
      <c r="A68" t="s">
        <v>154</v>
      </c>
      <c r="B68" t="s">
        <v>154</v>
      </c>
      <c r="C68" t="s">
        <v>155</v>
      </c>
      <c r="D68">
        <v>49188</v>
      </c>
      <c r="E68" t="s">
        <v>15</v>
      </c>
      <c r="F68">
        <v>34237</v>
      </c>
      <c r="G68">
        <v>28</v>
      </c>
      <c r="H68">
        <v>696044</v>
      </c>
      <c r="I68">
        <v>569</v>
      </c>
      <c r="J68">
        <v>8.1782865999999996E-2</v>
      </c>
    </row>
    <row r="69" spans="1:10" x14ac:dyDescent="0.35">
      <c r="A69" t="s">
        <v>156</v>
      </c>
      <c r="B69" t="s">
        <v>157</v>
      </c>
      <c r="C69" t="s">
        <v>158</v>
      </c>
      <c r="D69">
        <v>3657</v>
      </c>
      <c r="E69" t="s">
        <v>25</v>
      </c>
      <c r="F69">
        <v>123</v>
      </c>
      <c r="G69">
        <v>0</v>
      </c>
      <c r="H69">
        <v>33634</v>
      </c>
      <c r="I69">
        <v>0</v>
      </c>
      <c r="J69">
        <v>0</v>
      </c>
    </row>
    <row r="70" spans="1:10" x14ac:dyDescent="0.35">
      <c r="A70" t="s">
        <v>159</v>
      </c>
      <c r="B70" t="s">
        <v>159</v>
      </c>
      <c r="C70" t="s">
        <v>160</v>
      </c>
      <c r="D70">
        <v>907817</v>
      </c>
      <c r="E70" t="s">
        <v>36</v>
      </c>
      <c r="F70">
        <v>64422</v>
      </c>
      <c r="G70">
        <v>834</v>
      </c>
      <c r="H70">
        <v>70964</v>
      </c>
      <c r="I70">
        <v>919</v>
      </c>
      <c r="J70">
        <v>1.2945888050000001</v>
      </c>
    </row>
    <row r="71" spans="1:10" x14ac:dyDescent="0.35">
      <c r="A71" t="s">
        <v>161</v>
      </c>
      <c r="B71" t="s">
        <v>161</v>
      </c>
      <c r="C71" t="s">
        <v>162</v>
      </c>
      <c r="D71">
        <v>5555788</v>
      </c>
      <c r="E71" t="s">
        <v>15</v>
      </c>
      <c r="F71">
        <v>889626</v>
      </c>
      <c r="G71">
        <v>3178</v>
      </c>
      <c r="H71">
        <v>160126</v>
      </c>
      <c r="I71">
        <v>572</v>
      </c>
      <c r="J71">
        <v>0.35722876799999997</v>
      </c>
    </row>
    <row r="72" spans="1:10" x14ac:dyDescent="0.35">
      <c r="A72" t="s">
        <v>163</v>
      </c>
      <c r="B72" t="s">
        <v>163</v>
      </c>
      <c r="C72" t="s">
        <v>164</v>
      </c>
      <c r="D72">
        <v>65526369</v>
      </c>
      <c r="E72" t="s">
        <v>15</v>
      </c>
      <c r="F72">
        <v>25997852</v>
      </c>
      <c r="G72">
        <v>142506</v>
      </c>
      <c r="H72">
        <v>396754</v>
      </c>
      <c r="I72">
        <v>2175</v>
      </c>
      <c r="J72">
        <v>0.54814528500000004</v>
      </c>
    </row>
    <row r="73" spans="1:10" x14ac:dyDescent="0.35">
      <c r="A73" t="s">
        <v>165</v>
      </c>
      <c r="B73" t="s">
        <v>165</v>
      </c>
      <c r="C73" t="s">
        <v>166</v>
      </c>
      <c r="D73">
        <v>312224</v>
      </c>
      <c r="E73" t="s">
        <v>25</v>
      </c>
      <c r="F73">
        <v>79075</v>
      </c>
      <c r="G73">
        <v>394</v>
      </c>
      <c r="H73">
        <v>253264</v>
      </c>
      <c r="I73">
        <v>1262</v>
      </c>
      <c r="J73">
        <v>0.49826114399999999</v>
      </c>
    </row>
    <row r="74" spans="1:10" x14ac:dyDescent="0.35">
      <c r="A74" t="s">
        <v>167</v>
      </c>
      <c r="B74" t="s">
        <v>167</v>
      </c>
      <c r="C74" t="s">
        <v>168</v>
      </c>
      <c r="D74">
        <v>283751</v>
      </c>
      <c r="E74" t="s">
        <v>36</v>
      </c>
      <c r="F74">
        <v>72318</v>
      </c>
      <c r="G74">
        <v>646</v>
      </c>
      <c r="H74">
        <v>254864</v>
      </c>
      <c r="I74">
        <v>2277</v>
      </c>
      <c r="J74">
        <v>0.89327691600000003</v>
      </c>
    </row>
    <row r="75" spans="1:10" x14ac:dyDescent="0.35">
      <c r="A75" t="s">
        <v>169</v>
      </c>
      <c r="B75" t="s">
        <v>169</v>
      </c>
      <c r="C75" t="s">
        <v>170</v>
      </c>
      <c r="D75">
        <v>2317612</v>
      </c>
      <c r="E75" t="s">
        <v>18</v>
      </c>
      <c r="F75">
        <v>47586</v>
      </c>
      <c r="G75">
        <v>303</v>
      </c>
      <c r="H75">
        <v>20532</v>
      </c>
      <c r="I75">
        <v>131</v>
      </c>
      <c r="J75">
        <v>0.636741899</v>
      </c>
    </row>
    <row r="76" spans="1:10" x14ac:dyDescent="0.35">
      <c r="A76" t="s">
        <v>171</v>
      </c>
      <c r="B76" t="s">
        <v>171</v>
      </c>
      <c r="C76" t="s">
        <v>172</v>
      </c>
      <c r="D76">
        <v>2535418</v>
      </c>
      <c r="E76" t="s">
        <v>18</v>
      </c>
      <c r="F76">
        <v>11988</v>
      </c>
      <c r="G76">
        <v>365</v>
      </c>
      <c r="H76">
        <v>4728</v>
      </c>
      <c r="I76">
        <v>144</v>
      </c>
      <c r="J76">
        <v>3.0447113780000001</v>
      </c>
    </row>
    <row r="77" spans="1:10" x14ac:dyDescent="0.35">
      <c r="A77" t="s">
        <v>173</v>
      </c>
      <c r="B77" t="s">
        <v>173</v>
      </c>
      <c r="C77" t="s">
        <v>174</v>
      </c>
      <c r="D77">
        <v>3975762</v>
      </c>
      <c r="E77" t="s">
        <v>12</v>
      </c>
      <c r="F77">
        <v>1649222</v>
      </c>
      <c r="G77">
        <v>16756</v>
      </c>
      <c r="H77">
        <v>414819</v>
      </c>
      <c r="I77">
        <v>4215</v>
      </c>
      <c r="J77">
        <v>1.015994208</v>
      </c>
    </row>
    <row r="78" spans="1:10" x14ac:dyDescent="0.35">
      <c r="A78" t="s">
        <v>175</v>
      </c>
      <c r="B78" t="s">
        <v>175</v>
      </c>
      <c r="C78" t="s">
        <v>176</v>
      </c>
      <c r="D78">
        <v>84252947</v>
      </c>
      <c r="E78" t="s">
        <v>15</v>
      </c>
      <c r="F78">
        <v>21646375</v>
      </c>
      <c r="G78">
        <v>130563</v>
      </c>
      <c r="H78">
        <v>256921</v>
      </c>
      <c r="I78">
        <v>1550</v>
      </c>
      <c r="J78">
        <v>0.60316334699999996</v>
      </c>
    </row>
    <row r="79" spans="1:10" x14ac:dyDescent="0.35">
      <c r="A79" t="s">
        <v>177</v>
      </c>
      <c r="B79" t="s">
        <v>177</v>
      </c>
      <c r="C79" t="s">
        <v>178</v>
      </c>
      <c r="D79">
        <v>32207812</v>
      </c>
      <c r="E79" t="s">
        <v>18</v>
      </c>
      <c r="F79">
        <v>160971</v>
      </c>
      <c r="G79">
        <v>1445</v>
      </c>
      <c r="H79">
        <v>4998</v>
      </c>
      <c r="I79">
        <v>45</v>
      </c>
      <c r="J79">
        <v>0.89767722100000003</v>
      </c>
    </row>
    <row r="80" spans="1:10" x14ac:dyDescent="0.35">
      <c r="A80" t="s">
        <v>179</v>
      </c>
      <c r="B80" t="s">
        <v>179</v>
      </c>
      <c r="C80" t="s">
        <v>180</v>
      </c>
      <c r="D80">
        <v>33673</v>
      </c>
      <c r="E80" t="s">
        <v>15</v>
      </c>
      <c r="F80">
        <v>16979</v>
      </c>
      <c r="G80">
        <v>101</v>
      </c>
      <c r="H80">
        <v>504232</v>
      </c>
      <c r="I80">
        <v>2999</v>
      </c>
      <c r="J80">
        <v>0.594852465</v>
      </c>
    </row>
    <row r="81" spans="1:10" x14ac:dyDescent="0.35">
      <c r="A81" t="s">
        <v>181</v>
      </c>
      <c r="B81" t="s">
        <v>181</v>
      </c>
      <c r="C81" t="s">
        <v>182</v>
      </c>
      <c r="D81">
        <v>10333930</v>
      </c>
      <c r="E81" t="s">
        <v>15</v>
      </c>
      <c r="F81">
        <v>3077711</v>
      </c>
      <c r="G81">
        <v>27684</v>
      </c>
      <c r="H81">
        <v>297826</v>
      </c>
      <c r="I81">
        <v>2679</v>
      </c>
      <c r="J81">
        <v>0.89949966100000001</v>
      </c>
    </row>
    <row r="82" spans="1:10" x14ac:dyDescent="0.35">
      <c r="A82" t="s">
        <v>183</v>
      </c>
      <c r="B82" t="s">
        <v>183</v>
      </c>
      <c r="C82" t="s">
        <v>184</v>
      </c>
      <c r="D82">
        <v>56942</v>
      </c>
      <c r="E82" t="s">
        <v>59</v>
      </c>
      <c r="F82">
        <v>11971</v>
      </c>
      <c r="G82">
        <v>21</v>
      </c>
      <c r="H82">
        <v>210231</v>
      </c>
      <c r="I82">
        <v>369</v>
      </c>
      <c r="J82">
        <v>0.175423941</v>
      </c>
    </row>
    <row r="83" spans="1:10" x14ac:dyDescent="0.35">
      <c r="A83" t="s">
        <v>185</v>
      </c>
      <c r="B83" t="s">
        <v>185</v>
      </c>
      <c r="C83" t="s">
        <v>186</v>
      </c>
      <c r="D83">
        <v>113436</v>
      </c>
      <c r="E83" t="s">
        <v>25</v>
      </c>
      <c r="F83">
        <v>14024</v>
      </c>
      <c r="G83">
        <v>218</v>
      </c>
      <c r="H83">
        <v>123629</v>
      </c>
      <c r="I83">
        <v>1922</v>
      </c>
      <c r="J83">
        <v>1.5544780380000001</v>
      </c>
    </row>
    <row r="84" spans="1:10" x14ac:dyDescent="0.35">
      <c r="A84" t="s">
        <v>187</v>
      </c>
      <c r="B84" t="s">
        <v>187</v>
      </c>
      <c r="C84" t="s">
        <v>188</v>
      </c>
      <c r="D84">
        <v>400244</v>
      </c>
      <c r="E84" t="s">
        <v>25</v>
      </c>
      <c r="F84">
        <v>130705</v>
      </c>
      <c r="G84">
        <v>843</v>
      </c>
      <c r="H84">
        <v>326563</v>
      </c>
      <c r="I84">
        <v>2106</v>
      </c>
      <c r="J84">
        <v>0.64496385000000001</v>
      </c>
    </row>
    <row r="85" spans="1:10" x14ac:dyDescent="0.35">
      <c r="A85" t="s">
        <v>189</v>
      </c>
      <c r="B85" t="s">
        <v>189</v>
      </c>
      <c r="C85" t="s">
        <v>190</v>
      </c>
      <c r="D85">
        <v>18495493</v>
      </c>
      <c r="E85" t="s">
        <v>25</v>
      </c>
      <c r="F85">
        <v>830745</v>
      </c>
      <c r="G85">
        <v>17325</v>
      </c>
      <c r="H85">
        <v>44916</v>
      </c>
      <c r="I85">
        <v>937</v>
      </c>
      <c r="J85">
        <v>2.085477493</v>
      </c>
    </row>
    <row r="86" spans="1:10" x14ac:dyDescent="0.35">
      <c r="A86" t="s">
        <v>191</v>
      </c>
      <c r="B86" t="s">
        <v>191</v>
      </c>
      <c r="C86" t="s">
        <v>192</v>
      </c>
      <c r="D86">
        <v>13755881</v>
      </c>
      <c r="E86" t="s">
        <v>18</v>
      </c>
      <c r="F86">
        <v>36459</v>
      </c>
      <c r="G86">
        <v>440</v>
      </c>
      <c r="H86">
        <v>2650</v>
      </c>
      <c r="I86">
        <v>32</v>
      </c>
      <c r="J86">
        <v>1.2068350750000001</v>
      </c>
    </row>
    <row r="87" spans="1:10" x14ac:dyDescent="0.35">
      <c r="A87" t="s">
        <v>193</v>
      </c>
      <c r="B87" t="s">
        <v>193</v>
      </c>
      <c r="C87" t="s">
        <v>194</v>
      </c>
      <c r="D87">
        <v>2049374</v>
      </c>
      <c r="E87" t="s">
        <v>18</v>
      </c>
      <c r="F87">
        <v>8151</v>
      </c>
      <c r="G87">
        <v>170</v>
      </c>
      <c r="H87">
        <v>3977</v>
      </c>
      <c r="I87">
        <v>83</v>
      </c>
      <c r="J87">
        <v>2.085633665</v>
      </c>
    </row>
    <row r="88" spans="1:10" x14ac:dyDescent="0.35">
      <c r="A88" t="s">
        <v>195</v>
      </c>
      <c r="B88" t="s">
        <v>195</v>
      </c>
      <c r="C88" t="s">
        <v>196</v>
      </c>
      <c r="D88">
        <v>793196</v>
      </c>
      <c r="E88" t="s">
        <v>25</v>
      </c>
      <c r="F88">
        <v>63272</v>
      </c>
      <c r="G88">
        <v>1226</v>
      </c>
      <c r="H88">
        <v>79768</v>
      </c>
      <c r="I88">
        <v>1546</v>
      </c>
      <c r="J88">
        <v>1.93766595</v>
      </c>
    </row>
    <row r="89" spans="1:10" x14ac:dyDescent="0.35">
      <c r="A89" t="s">
        <v>197</v>
      </c>
      <c r="B89" t="s">
        <v>197</v>
      </c>
      <c r="C89" t="s">
        <v>198</v>
      </c>
      <c r="D89">
        <v>11645833</v>
      </c>
      <c r="E89" t="s">
        <v>25</v>
      </c>
      <c r="F89">
        <v>30549</v>
      </c>
      <c r="G89">
        <v>833</v>
      </c>
      <c r="H89">
        <v>2623</v>
      </c>
      <c r="I89">
        <v>72</v>
      </c>
      <c r="J89">
        <v>2.7267668340000002</v>
      </c>
    </row>
    <row r="90" spans="1:10" x14ac:dyDescent="0.35">
      <c r="A90" t="s">
        <v>199</v>
      </c>
      <c r="B90" t="s">
        <v>199</v>
      </c>
      <c r="C90" t="s">
        <v>200</v>
      </c>
      <c r="D90">
        <v>10180299</v>
      </c>
      <c r="E90" t="s">
        <v>25</v>
      </c>
      <c r="F90">
        <v>421062</v>
      </c>
      <c r="G90">
        <v>10880</v>
      </c>
      <c r="H90">
        <v>41360</v>
      </c>
      <c r="I90">
        <v>1069</v>
      </c>
      <c r="J90">
        <v>2.5839425070000002</v>
      </c>
    </row>
    <row r="91" spans="1:10" x14ac:dyDescent="0.35">
      <c r="A91" t="s">
        <v>201</v>
      </c>
      <c r="B91" t="s">
        <v>202</v>
      </c>
      <c r="C91" t="s">
        <v>203</v>
      </c>
      <c r="D91">
        <v>7603455</v>
      </c>
      <c r="E91" t="s">
        <v>12</v>
      </c>
      <c r="F91">
        <v>1171422</v>
      </c>
      <c r="G91">
        <v>8172</v>
      </c>
      <c r="H91">
        <v>154064</v>
      </c>
      <c r="I91">
        <v>1075</v>
      </c>
      <c r="J91">
        <v>0.69761366999999996</v>
      </c>
    </row>
    <row r="92" spans="1:10" x14ac:dyDescent="0.35">
      <c r="A92" t="s">
        <v>204</v>
      </c>
      <c r="B92" t="s">
        <v>204</v>
      </c>
      <c r="C92" t="s">
        <v>205</v>
      </c>
      <c r="D92">
        <v>9617409</v>
      </c>
      <c r="E92" t="s">
        <v>15</v>
      </c>
      <c r="F92">
        <v>1854198</v>
      </c>
      <c r="G92">
        <v>45510</v>
      </c>
      <c r="H92">
        <v>192796</v>
      </c>
      <c r="I92">
        <v>4732</v>
      </c>
      <c r="J92">
        <v>2.4544304330000002</v>
      </c>
    </row>
    <row r="93" spans="1:10" x14ac:dyDescent="0.35">
      <c r="A93" t="s">
        <v>206</v>
      </c>
      <c r="B93" t="s">
        <v>206</v>
      </c>
      <c r="C93" t="s">
        <v>207</v>
      </c>
      <c r="D93">
        <v>345120</v>
      </c>
      <c r="E93" t="s">
        <v>15</v>
      </c>
      <c r="F93">
        <v>181830</v>
      </c>
      <c r="G93">
        <v>101</v>
      </c>
      <c r="H93">
        <v>526860</v>
      </c>
      <c r="I93">
        <v>293</v>
      </c>
      <c r="J93">
        <v>5.5546389000000002E-2</v>
      </c>
    </row>
    <row r="94" spans="1:10" x14ac:dyDescent="0.35">
      <c r="A94" t="s">
        <v>208</v>
      </c>
      <c r="B94" t="s">
        <v>208</v>
      </c>
      <c r="C94" t="s">
        <v>209</v>
      </c>
      <c r="D94">
        <v>1403754381</v>
      </c>
      <c r="E94" t="s">
        <v>12</v>
      </c>
      <c r="F94">
        <v>43029044</v>
      </c>
      <c r="G94">
        <v>521388</v>
      </c>
      <c r="H94">
        <v>30653</v>
      </c>
      <c r="I94">
        <v>371</v>
      </c>
      <c r="J94">
        <v>1.211711792</v>
      </c>
    </row>
    <row r="95" spans="1:10" x14ac:dyDescent="0.35">
      <c r="A95" t="s">
        <v>210</v>
      </c>
      <c r="B95" t="s">
        <v>210</v>
      </c>
      <c r="C95" t="s">
        <v>211</v>
      </c>
      <c r="D95">
        <v>278586508</v>
      </c>
      <c r="E95" t="s">
        <v>12</v>
      </c>
      <c r="F95">
        <v>6019981</v>
      </c>
      <c r="G95">
        <v>155288</v>
      </c>
      <c r="H95">
        <v>21609</v>
      </c>
      <c r="I95">
        <v>557</v>
      </c>
      <c r="J95">
        <v>2.579543025</v>
      </c>
    </row>
    <row r="96" spans="1:10" x14ac:dyDescent="0.35">
      <c r="A96" t="s">
        <v>212</v>
      </c>
      <c r="B96" t="s">
        <v>213</v>
      </c>
      <c r="C96" t="s">
        <v>214</v>
      </c>
      <c r="D96">
        <v>85874667</v>
      </c>
      <c r="E96" t="s">
        <v>12</v>
      </c>
      <c r="F96">
        <v>7167646</v>
      </c>
      <c r="G96">
        <v>140315</v>
      </c>
      <c r="H96">
        <v>83466</v>
      </c>
      <c r="I96">
        <v>1634</v>
      </c>
      <c r="J96">
        <v>1.9576162100000001</v>
      </c>
    </row>
    <row r="97" spans="1:10" x14ac:dyDescent="0.35">
      <c r="A97" t="s">
        <v>215</v>
      </c>
      <c r="B97" t="s">
        <v>215</v>
      </c>
      <c r="C97" t="s">
        <v>216</v>
      </c>
      <c r="D97">
        <v>41801625</v>
      </c>
      <c r="E97" t="s">
        <v>12</v>
      </c>
      <c r="F97">
        <v>2320260</v>
      </c>
      <c r="G97">
        <v>25173</v>
      </c>
      <c r="H97">
        <v>55506</v>
      </c>
      <c r="I97">
        <v>602</v>
      </c>
      <c r="J97">
        <v>1.0849215169999999</v>
      </c>
    </row>
    <row r="98" spans="1:10" x14ac:dyDescent="0.35">
      <c r="A98" t="s">
        <v>217</v>
      </c>
      <c r="B98" t="s">
        <v>217</v>
      </c>
      <c r="C98" t="s">
        <v>218</v>
      </c>
      <c r="D98">
        <v>5034333</v>
      </c>
      <c r="E98" t="s">
        <v>15</v>
      </c>
      <c r="F98">
        <v>1471210</v>
      </c>
      <c r="G98">
        <v>6786</v>
      </c>
      <c r="H98">
        <v>292235</v>
      </c>
      <c r="I98">
        <v>1348</v>
      </c>
      <c r="J98">
        <v>0.46125298199999998</v>
      </c>
    </row>
    <row r="99" spans="1:10" x14ac:dyDescent="0.35">
      <c r="A99" t="s">
        <v>219</v>
      </c>
      <c r="B99" t="s">
        <v>219</v>
      </c>
      <c r="C99" t="s">
        <v>220</v>
      </c>
      <c r="D99">
        <v>85821</v>
      </c>
      <c r="E99" t="s">
        <v>15</v>
      </c>
      <c r="F99">
        <v>28416</v>
      </c>
      <c r="G99">
        <v>84</v>
      </c>
      <c r="H99">
        <v>331108</v>
      </c>
      <c r="I99">
        <v>979</v>
      </c>
      <c r="J99">
        <v>0.29560810799999998</v>
      </c>
    </row>
    <row r="100" spans="1:10" x14ac:dyDescent="0.35">
      <c r="A100" t="s">
        <v>221</v>
      </c>
      <c r="B100" t="s">
        <v>221</v>
      </c>
      <c r="C100" t="s">
        <v>222</v>
      </c>
      <c r="D100">
        <v>9326000</v>
      </c>
      <c r="E100" t="s">
        <v>12</v>
      </c>
      <c r="F100">
        <v>3943153</v>
      </c>
      <c r="G100">
        <v>10530</v>
      </c>
      <c r="H100">
        <v>422813</v>
      </c>
      <c r="I100">
        <v>1129</v>
      </c>
      <c r="J100">
        <v>0.26704517900000002</v>
      </c>
    </row>
    <row r="101" spans="1:10" x14ac:dyDescent="0.35">
      <c r="A101" t="s">
        <v>223</v>
      </c>
      <c r="B101" t="s">
        <v>223</v>
      </c>
      <c r="C101" t="s">
        <v>224</v>
      </c>
      <c r="D101">
        <v>60306185</v>
      </c>
      <c r="E101" t="s">
        <v>15</v>
      </c>
      <c r="F101">
        <v>14846514</v>
      </c>
      <c r="G101">
        <v>159784</v>
      </c>
      <c r="H101">
        <v>246186</v>
      </c>
      <c r="I101">
        <v>2650</v>
      </c>
      <c r="J101">
        <v>1.0762391760000001</v>
      </c>
    </row>
    <row r="102" spans="1:10" x14ac:dyDescent="0.35">
      <c r="A102" t="s">
        <v>225</v>
      </c>
      <c r="B102" t="s">
        <v>226</v>
      </c>
      <c r="C102" t="s">
        <v>227</v>
      </c>
      <c r="D102">
        <v>27520953</v>
      </c>
      <c r="E102" t="s">
        <v>18</v>
      </c>
      <c r="F102">
        <v>81761</v>
      </c>
      <c r="G102">
        <v>796</v>
      </c>
      <c r="H102">
        <v>2971</v>
      </c>
      <c r="I102">
        <v>29</v>
      </c>
      <c r="J102">
        <v>0.97356930600000002</v>
      </c>
    </row>
    <row r="103" spans="1:10" x14ac:dyDescent="0.35">
      <c r="A103" t="s">
        <v>228</v>
      </c>
      <c r="B103" t="s">
        <v>228</v>
      </c>
      <c r="C103" t="s">
        <v>229</v>
      </c>
      <c r="D103">
        <v>2983794</v>
      </c>
      <c r="E103" t="s">
        <v>25</v>
      </c>
      <c r="F103">
        <v>128811</v>
      </c>
      <c r="G103">
        <v>2893</v>
      </c>
      <c r="H103">
        <v>43170</v>
      </c>
      <c r="I103">
        <v>970</v>
      </c>
      <c r="J103">
        <v>2.2459262020000001</v>
      </c>
    </row>
    <row r="104" spans="1:10" x14ac:dyDescent="0.35">
      <c r="A104" t="s">
        <v>230</v>
      </c>
      <c r="B104" t="s">
        <v>230</v>
      </c>
      <c r="C104" t="s">
        <v>231</v>
      </c>
      <c r="D104">
        <v>125798669</v>
      </c>
      <c r="E104" t="s">
        <v>12</v>
      </c>
      <c r="F104">
        <v>6653841</v>
      </c>
      <c r="G104">
        <v>28248</v>
      </c>
      <c r="H104">
        <v>52893</v>
      </c>
      <c r="I104">
        <v>225</v>
      </c>
      <c r="J104">
        <v>0.42453674499999999</v>
      </c>
    </row>
    <row r="105" spans="1:10" x14ac:dyDescent="0.35">
      <c r="A105" t="s">
        <v>232</v>
      </c>
      <c r="B105" t="s">
        <v>232</v>
      </c>
      <c r="C105" t="s">
        <v>233</v>
      </c>
      <c r="D105">
        <v>10380442</v>
      </c>
      <c r="E105" t="s">
        <v>12</v>
      </c>
      <c r="F105">
        <v>1689314</v>
      </c>
      <c r="G105">
        <v>14003</v>
      </c>
      <c r="H105">
        <v>162740</v>
      </c>
      <c r="I105">
        <v>1349</v>
      </c>
      <c r="J105">
        <v>0.82891635299999999</v>
      </c>
    </row>
    <row r="106" spans="1:10" x14ac:dyDescent="0.35">
      <c r="A106" t="s">
        <v>234</v>
      </c>
      <c r="B106" t="s">
        <v>234</v>
      </c>
      <c r="C106" t="s">
        <v>235</v>
      </c>
      <c r="D106">
        <v>19169833</v>
      </c>
      <c r="E106" t="s">
        <v>12</v>
      </c>
      <c r="F106">
        <v>1305188</v>
      </c>
      <c r="G106">
        <v>13660</v>
      </c>
      <c r="H106">
        <v>68086</v>
      </c>
      <c r="I106">
        <v>713</v>
      </c>
      <c r="J106">
        <v>1.0465925220000001</v>
      </c>
    </row>
    <row r="107" spans="1:10" x14ac:dyDescent="0.35">
      <c r="A107" t="s">
        <v>236</v>
      </c>
      <c r="B107" t="s">
        <v>236</v>
      </c>
      <c r="C107" t="s">
        <v>237</v>
      </c>
      <c r="D107">
        <v>55843563</v>
      </c>
      <c r="E107" t="s">
        <v>18</v>
      </c>
      <c r="F107">
        <v>323454</v>
      </c>
      <c r="G107">
        <v>5648</v>
      </c>
      <c r="H107">
        <v>5792</v>
      </c>
      <c r="I107">
        <v>101</v>
      </c>
      <c r="J107">
        <v>1.7461524669999999</v>
      </c>
    </row>
    <row r="108" spans="1:10" x14ac:dyDescent="0.35">
      <c r="A108" t="s">
        <v>238</v>
      </c>
      <c r="B108" t="s">
        <v>238</v>
      </c>
      <c r="C108" t="s">
        <v>239</v>
      </c>
      <c r="D108">
        <v>122656</v>
      </c>
      <c r="E108" t="s">
        <v>36</v>
      </c>
      <c r="F108">
        <v>3067</v>
      </c>
      <c r="G108">
        <v>13</v>
      </c>
      <c r="H108">
        <v>25005</v>
      </c>
      <c r="I108">
        <v>106</v>
      </c>
      <c r="J108">
        <v>0.42386697099999998</v>
      </c>
    </row>
    <row r="109" spans="1:10" x14ac:dyDescent="0.35">
      <c r="A109" t="s">
        <v>240</v>
      </c>
      <c r="B109" t="s">
        <v>240</v>
      </c>
      <c r="C109" t="s">
        <v>241</v>
      </c>
      <c r="D109">
        <v>4381108</v>
      </c>
      <c r="E109" t="s">
        <v>12</v>
      </c>
      <c r="F109">
        <v>629525</v>
      </c>
      <c r="G109">
        <v>2554</v>
      </c>
      <c r="H109">
        <v>143691</v>
      </c>
      <c r="I109">
        <v>583</v>
      </c>
      <c r="J109">
        <v>0.40570271200000002</v>
      </c>
    </row>
    <row r="110" spans="1:10" x14ac:dyDescent="0.35">
      <c r="A110" t="s">
        <v>242</v>
      </c>
      <c r="B110" t="s">
        <v>242</v>
      </c>
      <c r="C110" t="s">
        <v>243</v>
      </c>
      <c r="D110">
        <v>6712569</v>
      </c>
      <c r="E110" t="s">
        <v>12</v>
      </c>
      <c r="F110">
        <v>200968</v>
      </c>
      <c r="G110">
        <v>2991</v>
      </c>
      <c r="H110">
        <v>29939</v>
      </c>
      <c r="I110">
        <v>446</v>
      </c>
      <c r="J110">
        <v>1.4882966440000001</v>
      </c>
    </row>
    <row r="111" spans="1:10" x14ac:dyDescent="0.35">
      <c r="A111" t="s">
        <v>244</v>
      </c>
      <c r="B111" t="s">
        <v>245</v>
      </c>
      <c r="C111" t="s">
        <v>246</v>
      </c>
      <c r="D111">
        <v>7460338</v>
      </c>
      <c r="E111" t="s">
        <v>12</v>
      </c>
      <c r="F111">
        <v>183560</v>
      </c>
      <c r="G111">
        <v>679</v>
      </c>
      <c r="H111">
        <v>24605</v>
      </c>
      <c r="I111">
        <v>91</v>
      </c>
      <c r="J111">
        <v>0.36990629800000002</v>
      </c>
    </row>
    <row r="112" spans="1:10" x14ac:dyDescent="0.35">
      <c r="A112" t="s">
        <v>247</v>
      </c>
      <c r="B112" t="s">
        <v>247</v>
      </c>
      <c r="C112" t="s">
        <v>248</v>
      </c>
      <c r="D112">
        <v>1849698</v>
      </c>
      <c r="E112" t="s">
        <v>15</v>
      </c>
      <c r="F112">
        <v>802534</v>
      </c>
      <c r="G112">
        <v>5643</v>
      </c>
      <c r="H112">
        <v>433873</v>
      </c>
      <c r="I112">
        <v>3051</v>
      </c>
      <c r="J112">
        <v>0.70314777900000003</v>
      </c>
    </row>
    <row r="113" spans="1:10" x14ac:dyDescent="0.35">
      <c r="A113" t="s">
        <v>249</v>
      </c>
      <c r="B113" t="s">
        <v>249</v>
      </c>
      <c r="C113" t="s">
        <v>250</v>
      </c>
      <c r="D113">
        <v>6771939</v>
      </c>
      <c r="E113" t="s">
        <v>12</v>
      </c>
      <c r="F113">
        <v>1092995</v>
      </c>
      <c r="G113">
        <v>10315</v>
      </c>
      <c r="H113">
        <v>161401</v>
      </c>
      <c r="I113">
        <v>1523</v>
      </c>
      <c r="J113">
        <v>0.94373716299999999</v>
      </c>
    </row>
    <row r="114" spans="1:10" x14ac:dyDescent="0.35">
      <c r="A114" t="s">
        <v>251</v>
      </c>
      <c r="B114" t="s">
        <v>251</v>
      </c>
      <c r="C114" t="s">
        <v>252</v>
      </c>
      <c r="D114">
        <v>2171978</v>
      </c>
      <c r="E114" t="s">
        <v>18</v>
      </c>
      <c r="F114">
        <v>32910</v>
      </c>
      <c r="G114">
        <v>697</v>
      </c>
      <c r="H114">
        <v>15152</v>
      </c>
      <c r="I114">
        <v>321</v>
      </c>
      <c r="J114">
        <v>2.1178972960000002</v>
      </c>
    </row>
    <row r="115" spans="1:10" x14ac:dyDescent="0.35">
      <c r="A115" t="s">
        <v>253</v>
      </c>
      <c r="B115" t="s">
        <v>253</v>
      </c>
      <c r="C115" t="s">
        <v>254</v>
      </c>
      <c r="D115">
        <v>5265647</v>
      </c>
      <c r="E115" t="s">
        <v>18</v>
      </c>
      <c r="F115">
        <v>7400</v>
      </c>
      <c r="G115">
        <v>294</v>
      </c>
      <c r="H115">
        <v>1405</v>
      </c>
      <c r="I115">
        <v>56</v>
      </c>
      <c r="J115">
        <v>3.9729729730000001</v>
      </c>
    </row>
    <row r="116" spans="1:10" x14ac:dyDescent="0.35">
      <c r="A116" t="s">
        <v>255</v>
      </c>
      <c r="B116" t="s">
        <v>255</v>
      </c>
      <c r="C116" t="s">
        <v>256</v>
      </c>
      <c r="D116">
        <v>7034832</v>
      </c>
      <c r="E116" t="s">
        <v>18</v>
      </c>
      <c r="F116">
        <v>501738</v>
      </c>
      <c r="G116">
        <v>6419</v>
      </c>
      <c r="H116">
        <v>71322</v>
      </c>
      <c r="I116">
        <v>912</v>
      </c>
      <c r="J116">
        <v>1.2793529690000001</v>
      </c>
    </row>
    <row r="117" spans="1:10" x14ac:dyDescent="0.35">
      <c r="A117" t="s">
        <v>257</v>
      </c>
      <c r="B117" t="s">
        <v>257</v>
      </c>
      <c r="C117" t="s">
        <v>258</v>
      </c>
      <c r="D117">
        <v>38320</v>
      </c>
      <c r="E117" t="s">
        <v>15</v>
      </c>
      <c r="F117">
        <v>16429</v>
      </c>
      <c r="G117">
        <v>84</v>
      </c>
      <c r="H117">
        <v>428732</v>
      </c>
      <c r="I117">
        <v>2192</v>
      </c>
      <c r="J117">
        <v>0.51129100999999999</v>
      </c>
    </row>
    <row r="118" spans="1:10" x14ac:dyDescent="0.35">
      <c r="A118" t="s">
        <v>259</v>
      </c>
      <c r="B118" t="s">
        <v>259</v>
      </c>
      <c r="C118" t="s">
        <v>260</v>
      </c>
      <c r="D118">
        <v>2655811</v>
      </c>
      <c r="E118" t="s">
        <v>15</v>
      </c>
      <c r="F118">
        <v>1030966</v>
      </c>
      <c r="G118">
        <v>8907</v>
      </c>
      <c r="H118">
        <v>388193</v>
      </c>
      <c r="I118">
        <v>3354</v>
      </c>
      <c r="J118">
        <v>0.86394701699999998</v>
      </c>
    </row>
    <row r="119" spans="1:10" x14ac:dyDescent="0.35">
      <c r="A119" t="s">
        <v>261</v>
      </c>
      <c r="B119" t="s">
        <v>261</v>
      </c>
      <c r="C119" t="s">
        <v>262</v>
      </c>
      <c r="D119">
        <v>643801</v>
      </c>
      <c r="E119" t="s">
        <v>15</v>
      </c>
      <c r="F119">
        <v>216979</v>
      </c>
      <c r="G119">
        <v>1037</v>
      </c>
      <c r="H119">
        <v>337028</v>
      </c>
      <c r="I119">
        <v>1611</v>
      </c>
      <c r="J119">
        <v>0.47792643499999998</v>
      </c>
    </row>
    <row r="120" spans="1:10" x14ac:dyDescent="0.35">
      <c r="A120" t="s">
        <v>263</v>
      </c>
      <c r="B120" t="s">
        <v>264</v>
      </c>
      <c r="C120" t="s">
        <v>265</v>
      </c>
      <c r="D120">
        <v>664828</v>
      </c>
      <c r="E120" t="s">
        <v>12</v>
      </c>
      <c r="F120">
        <v>82</v>
      </c>
      <c r="G120">
        <v>0</v>
      </c>
      <c r="H120">
        <v>123</v>
      </c>
      <c r="I120">
        <v>0</v>
      </c>
      <c r="J120">
        <v>0</v>
      </c>
    </row>
    <row r="121" spans="1:10" x14ac:dyDescent="0.35">
      <c r="A121" t="s">
        <v>266</v>
      </c>
      <c r="B121" t="s">
        <v>266</v>
      </c>
      <c r="C121" t="s">
        <v>267</v>
      </c>
      <c r="D121">
        <v>28936285</v>
      </c>
      <c r="E121" t="s">
        <v>18</v>
      </c>
      <c r="F121">
        <v>64050</v>
      </c>
      <c r="G121">
        <v>1388</v>
      </c>
      <c r="H121">
        <v>2213</v>
      </c>
      <c r="I121">
        <v>48</v>
      </c>
      <c r="J121">
        <v>2.167056987</v>
      </c>
    </row>
    <row r="122" spans="1:10" x14ac:dyDescent="0.35">
      <c r="A122" t="s">
        <v>268</v>
      </c>
      <c r="B122" t="s">
        <v>268</v>
      </c>
      <c r="C122" t="s">
        <v>269</v>
      </c>
      <c r="D122">
        <v>19994654</v>
      </c>
      <c r="E122" t="s">
        <v>18</v>
      </c>
      <c r="F122">
        <v>85664</v>
      </c>
      <c r="G122">
        <v>2626</v>
      </c>
      <c r="H122">
        <v>4284</v>
      </c>
      <c r="I122">
        <v>131</v>
      </c>
      <c r="J122">
        <v>3.0654650729999999</v>
      </c>
    </row>
    <row r="123" spans="1:10" x14ac:dyDescent="0.35">
      <c r="A123" t="s">
        <v>270</v>
      </c>
      <c r="B123" t="s">
        <v>270</v>
      </c>
      <c r="C123" t="s">
        <v>271</v>
      </c>
      <c r="D123">
        <v>33091831</v>
      </c>
      <c r="E123" t="s">
        <v>12</v>
      </c>
      <c r="F123">
        <v>4246467</v>
      </c>
      <c r="G123">
        <v>35099</v>
      </c>
      <c r="H123">
        <v>128324</v>
      </c>
      <c r="I123">
        <v>1061</v>
      </c>
      <c r="J123">
        <v>0.82654592599999999</v>
      </c>
    </row>
    <row r="124" spans="1:10" x14ac:dyDescent="0.35">
      <c r="A124" t="s">
        <v>272</v>
      </c>
      <c r="B124" t="s">
        <v>272</v>
      </c>
      <c r="C124" t="s">
        <v>273</v>
      </c>
      <c r="D124">
        <v>557204</v>
      </c>
      <c r="E124" t="s">
        <v>12</v>
      </c>
      <c r="F124">
        <v>176993</v>
      </c>
      <c r="G124">
        <v>298</v>
      </c>
      <c r="H124">
        <v>317645</v>
      </c>
      <c r="I124">
        <v>535</v>
      </c>
      <c r="J124">
        <v>0.168368241</v>
      </c>
    </row>
    <row r="125" spans="1:10" x14ac:dyDescent="0.35">
      <c r="A125" t="s">
        <v>274</v>
      </c>
      <c r="B125" t="s">
        <v>274</v>
      </c>
      <c r="C125" t="s">
        <v>275</v>
      </c>
      <c r="D125">
        <v>21271006</v>
      </c>
      <c r="E125" t="s">
        <v>18</v>
      </c>
      <c r="F125">
        <v>30495</v>
      </c>
      <c r="G125">
        <v>728</v>
      </c>
      <c r="H125">
        <v>1434</v>
      </c>
      <c r="I125">
        <v>34</v>
      </c>
      <c r="J125">
        <v>2.3872766030000001</v>
      </c>
    </row>
    <row r="126" spans="1:10" x14ac:dyDescent="0.35">
      <c r="A126" t="s">
        <v>276</v>
      </c>
      <c r="B126" t="s">
        <v>276</v>
      </c>
      <c r="C126" t="s">
        <v>277</v>
      </c>
      <c r="D126">
        <v>443602</v>
      </c>
      <c r="E126" t="s">
        <v>15</v>
      </c>
      <c r="F126">
        <v>81596</v>
      </c>
      <c r="G126">
        <v>641</v>
      </c>
      <c r="H126">
        <v>183940</v>
      </c>
      <c r="I126">
        <v>1445</v>
      </c>
      <c r="J126">
        <v>0.78557772400000003</v>
      </c>
    </row>
    <row r="127" spans="1:10" x14ac:dyDescent="0.35">
      <c r="A127" t="s">
        <v>278</v>
      </c>
      <c r="B127" t="s">
        <v>278</v>
      </c>
      <c r="C127" t="s">
        <v>279</v>
      </c>
      <c r="D127">
        <v>59889</v>
      </c>
      <c r="E127" t="s">
        <v>36</v>
      </c>
      <c r="F127">
        <v>7</v>
      </c>
      <c r="G127">
        <v>0</v>
      </c>
      <c r="H127">
        <v>117</v>
      </c>
      <c r="I127">
        <v>0</v>
      </c>
      <c r="J127">
        <v>0</v>
      </c>
    </row>
    <row r="128" spans="1:10" x14ac:dyDescent="0.35">
      <c r="A128" t="s">
        <v>280</v>
      </c>
      <c r="B128" t="s">
        <v>280</v>
      </c>
      <c r="C128" t="s">
        <v>281</v>
      </c>
      <c r="D128">
        <v>374756</v>
      </c>
      <c r="E128" t="s">
        <v>25</v>
      </c>
      <c r="F128">
        <v>141415</v>
      </c>
      <c r="G128">
        <v>909</v>
      </c>
      <c r="H128">
        <v>377352</v>
      </c>
      <c r="I128">
        <v>2426</v>
      </c>
      <c r="J128">
        <v>0.64278895400000002</v>
      </c>
    </row>
    <row r="129" spans="1:10" x14ac:dyDescent="0.35">
      <c r="A129" t="s">
        <v>282</v>
      </c>
      <c r="B129" t="s">
        <v>282</v>
      </c>
      <c r="C129" t="s">
        <v>283</v>
      </c>
      <c r="D129">
        <v>4863443</v>
      </c>
      <c r="E129" t="s">
        <v>18</v>
      </c>
      <c r="F129">
        <v>58670</v>
      </c>
      <c r="G129">
        <v>982</v>
      </c>
      <c r="H129">
        <v>12063</v>
      </c>
      <c r="I129">
        <v>202</v>
      </c>
      <c r="J129">
        <v>1.6737685360000001</v>
      </c>
    </row>
    <row r="130" spans="1:10" x14ac:dyDescent="0.35">
      <c r="A130" t="s">
        <v>284</v>
      </c>
      <c r="B130" t="s">
        <v>284</v>
      </c>
      <c r="C130" t="s">
        <v>285</v>
      </c>
      <c r="D130">
        <v>1275463</v>
      </c>
      <c r="E130" t="s">
        <v>18</v>
      </c>
      <c r="F130">
        <v>36628</v>
      </c>
      <c r="G130">
        <v>968</v>
      </c>
      <c r="H130">
        <v>28717</v>
      </c>
      <c r="I130">
        <v>759</v>
      </c>
      <c r="J130">
        <v>2.6427869390000001</v>
      </c>
    </row>
    <row r="131" spans="1:10" x14ac:dyDescent="0.35">
      <c r="A131" t="s">
        <v>286</v>
      </c>
      <c r="B131" t="s">
        <v>286</v>
      </c>
      <c r="C131" t="s">
        <v>287</v>
      </c>
      <c r="D131">
        <v>284330</v>
      </c>
      <c r="E131" t="s">
        <v>18</v>
      </c>
      <c r="F131">
        <v>36891</v>
      </c>
      <c r="G131">
        <v>187</v>
      </c>
      <c r="H131">
        <v>129747</v>
      </c>
      <c r="I131">
        <v>658</v>
      </c>
      <c r="J131">
        <v>0.50689870199999998</v>
      </c>
    </row>
    <row r="132" spans="1:10" x14ac:dyDescent="0.35">
      <c r="A132" t="s">
        <v>288</v>
      </c>
      <c r="B132" t="s">
        <v>288</v>
      </c>
      <c r="C132" t="s">
        <v>289</v>
      </c>
      <c r="D132">
        <v>131303955</v>
      </c>
      <c r="E132" t="s">
        <v>25</v>
      </c>
      <c r="F132">
        <v>5665376</v>
      </c>
      <c r="G132">
        <v>323212</v>
      </c>
      <c r="H132">
        <v>43147</v>
      </c>
      <c r="I132">
        <v>2462</v>
      </c>
      <c r="J132">
        <v>5.7050405829999997</v>
      </c>
    </row>
    <row r="133" spans="1:10" x14ac:dyDescent="0.35">
      <c r="A133" t="s">
        <v>290</v>
      </c>
      <c r="B133" t="s">
        <v>291</v>
      </c>
      <c r="C133" t="s">
        <v>292</v>
      </c>
      <c r="D133">
        <v>117134</v>
      </c>
      <c r="E133" t="s">
        <v>36</v>
      </c>
      <c r="F133">
        <v>1</v>
      </c>
      <c r="G133">
        <v>0</v>
      </c>
      <c r="H133">
        <v>9</v>
      </c>
      <c r="I133">
        <v>0</v>
      </c>
      <c r="J133">
        <v>0</v>
      </c>
    </row>
    <row r="134" spans="1:10" x14ac:dyDescent="0.35">
      <c r="A134" t="s">
        <v>293</v>
      </c>
      <c r="B134" t="s">
        <v>294</v>
      </c>
      <c r="C134" t="s">
        <v>295</v>
      </c>
      <c r="D134">
        <v>4017550</v>
      </c>
      <c r="E134" t="s">
        <v>15</v>
      </c>
      <c r="F134">
        <v>514199</v>
      </c>
      <c r="G134">
        <v>11446</v>
      </c>
      <c r="H134">
        <v>127988</v>
      </c>
      <c r="I134">
        <v>2849</v>
      </c>
      <c r="J134">
        <v>2.225986437</v>
      </c>
    </row>
    <row r="135" spans="1:10" x14ac:dyDescent="0.35">
      <c r="A135" t="s">
        <v>296</v>
      </c>
      <c r="B135" t="s">
        <v>296</v>
      </c>
      <c r="C135" t="s">
        <v>297</v>
      </c>
      <c r="D135">
        <v>39729</v>
      </c>
      <c r="E135" t="s">
        <v>15</v>
      </c>
      <c r="F135">
        <v>10842</v>
      </c>
      <c r="G135">
        <v>54</v>
      </c>
      <c r="H135">
        <v>272899</v>
      </c>
      <c r="I135">
        <v>1359</v>
      </c>
      <c r="J135">
        <v>0.49806308799999999</v>
      </c>
    </row>
    <row r="136" spans="1:10" x14ac:dyDescent="0.35">
      <c r="A136" t="s">
        <v>298</v>
      </c>
      <c r="B136" t="s">
        <v>298</v>
      </c>
      <c r="C136" t="s">
        <v>299</v>
      </c>
      <c r="D136">
        <v>3370682</v>
      </c>
      <c r="E136" t="s">
        <v>12</v>
      </c>
      <c r="F136">
        <v>468610</v>
      </c>
      <c r="G136">
        <v>2177</v>
      </c>
      <c r="H136">
        <v>139025</v>
      </c>
      <c r="I136">
        <v>646</v>
      </c>
      <c r="J136">
        <v>0.46456541699999998</v>
      </c>
    </row>
    <row r="137" spans="1:10" x14ac:dyDescent="0.35">
      <c r="A137" t="s">
        <v>300</v>
      </c>
      <c r="C137" t="s">
        <v>301</v>
      </c>
      <c r="D137">
        <v>628205</v>
      </c>
      <c r="E137" t="s">
        <v>15</v>
      </c>
      <c r="F137">
        <v>233326</v>
      </c>
      <c r="G137">
        <v>2705</v>
      </c>
      <c r="H137">
        <v>371417</v>
      </c>
      <c r="I137">
        <v>4306</v>
      </c>
      <c r="J137">
        <v>1.1593221499999999</v>
      </c>
    </row>
    <row r="138" spans="1:10" x14ac:dyDescent="0.35">
      <c r="A138" t="s">
        <v>302</v>
      </c>
      <c r="B138" t="s">
        <v>302</v>
      </c>
      <c r="C138" t="s">
        <v>303</v>
      </c>
      <c r="D138">
        <v>4997</v>
      </c>
      <c r="E138" t="s">
        <v>25</v>
      </c>
      <c r="F138">
        <v>175</v>
      </c>
      <c r="G138">
        <v>2</v>
      </c>
      <c r="H138">
        <v>35021</v>
      </c>
      <c r="I138">
        <v>400</v>
      </c>
      <c r="J138">
        <v>1.1428571430000001</v>
      </c>
    </row>
    <row r="139" spans="1:10" x14ac:dyDescent="0.35">
      <c r="A139" t="s">
        <v>304</v>
      </c>
      <c r="B139" t="s">
        <v>304</v>
      </c>
      <c r="C139" t="s">
        <v>305</v>
      </c>
      <c r="D139">
        <v>37676342</v>
      </c>
      <c r="E139" t="s">
        <v>18</v>
      </c>
      <c r="F139">
        <v>1163526</v>
      </c>
      <c r="G139">
        <v>16060</v>
      </c>
      <c r="H139">
        <v>30882</v>
      </c>
      <c r="I139">
        <v>426</v>
      </c>
      <c r="J139">
        <v>1.3802871619999999</v>
      </c>
    </row>
    <row r="140" spans="1:10" x14ac:dyDescent="0.35">
      <c r="A140" t="s">
        <v>306</v>
      </c>
      <c r="B140" t="s">
        <v>306</v>
      </c>
      <c r="C140" t="s">
        <v>307</v>
      </c>
      <c r="D140">
        <v>32787052</v>
      </c>
      <c r="E140" t="s">
        <v>18</v>
      </c>
      <c r="F140">
        <v>225266</v>
      </c>
      <c r="G140">
        <v>2200</v>
      </c>
      <c r="H140">
        <v>6871</v>
      </c>
      <c r="I140">
        <v>67</v>
      </c>
      <c r="J140">
        <v>0.97662319200000003</v>
      </c>
    </row>
    <row r="141" spans="1:10" x14ac:dyDescent="0.35">
      <c r="A141" t="s">
        <v>308</v>
      </c>
      <c r="B141" t="s">
        <v>308</v>
      </c>
      <c r="C141" t="s">
        <v>309</v>
      </c>
      <c r="D141">
        <v>55048340</v>
      </c>
      <c r="E141" t="s">
        <v>12</v>
      </c>
      <c r="F141">
        <v>611875</v>
      </c>
      <c r="G141">
        <v>19433</v>
      </c>
      <c r="H141">
        <v>11115</v>
      </c>
      <c r="I141">
        <v>353</v>
      </c>
      <c r="J141">
        <v>3.1759754849999999</v>
      </c>
    </row>
    <row r="142" spans="1:10" x14ac:dyDescent="0.35">
      <c r="A142" t="s">
        <v>310</v>
      </c>
      <c r="B142" t="s">
        <v>310</v>
      </c>
      <c r="C142" t="s">
        <v>311</v>
      </c>
      <c r="D142">
        <v>2621429</v>
      </c>
      <c r="E142" t="s">
        <v>18</v>
      </c>
      <c r="F142">
        <v>157646</v>
      </c>
      <c r="G142">
        <v>4019</v>
      </c>
      <c r="H142">
        <v>60137</v>
      </c>
      <c r="I142">
        <v>1533</v>
      </c>
      <c r="J142">
        <v>2.549382794</v>
      </c>
    </row>
    <row r="143" spans="1:10" x14ac:dyDescent="0.35">
      <c r="A143" t="s">
        <v>312</v>
      </c>
      <c r="B143" t="s">
        <v>312</v>
      </c>
      <c r="C143" t="s">
        <v>313</v>
      </c>
      <c r="D143">
        <v>30053867</v>
      </c>
      <c r="E143" t="s">
        <v>12</v>
      </c>
      <c r="F143">
        <v>978475</v>
      </c>
      <c r="G143">
        <v>11951</v>
      </c>
      <c r="H143">
        <v>32557</v>
      </c>
      <c r="I143">
        <v>398</v>
      </c>
      <c r="J143">
        <v>1.2213904289999999</v>
      </c>
    </row>
    <row r="144" spans="1:10" x14ac:dyDescent="0.35">
      <c r="A144" t="s">
        <v>314</v>
      </c>
      <c r="B144" t="s">
        <v>314</v>
      </c>
      <c r="C144" t="s">
        <v>315</v>
      </c>
      <c r="D144">
        <v>17201245</v>
      </c>
      <c r="E144" t="s">
        <v>15</v>
      </c>
      <c r="F144">
        <v>7908701</v>
      </c>
      <c r="G144">
        <v>22016</v>
      </c>
      <c r="H144">
        <v>459775</v>
      </c>
      <c r="I144">
        <v>1280</v>
      </c>
      <c r="J144">
        <v>0.27837694200000002</v>
      </c>
    </row>
    <row r="145" spans="1:10" x14ac:dyDescent="0.35">
      <c r="A145" t="s">
        <v>316</v>
      </c>
      <c r="B145" t="s">
        <v>316</v>
      </c>
      <c r="C145" t="s">
        <v>317</v>
      </c>
      <c r="D145">
        <v>290302</v>
      </c>
      <c r="E145" t="s">
        <v>36</v>
      </c>
      <c r="F145">
        <v>60294</v>
      </c>
      <c r="G145">
        <v>311</v>
      </c>
      <c r="H145">
        <v>207694</v>
      </c>
      <c r="I145">
        <v>1071</v>
      </c>
      <c r="J145">
        <v>0.51580588400000005</v>
      </c>
    </row>
    <row r="146" spans="1:10" x14ac:dyDescent="0.35">
      <c r="A146" t="s">
        <v>318</v>
      </c>
      <c r="B146" t="s">
        <v>318</v>
      </c>
      <c r="C146" t="s">
        <v>319</v>
      </c>
      <c r="D146">
        <v>5002100</v>
      </c>
      <c r="E146" t="s">
        <v>36</v>
      </c>
      <c r="F146">
        <v>693219</v>
      </c>
      <c r="G146">
        <v>350</v>
      </c>
      <c r="H146">
        <v>138586</v>
      </c>
      <c r="I146">
        <v>70</v>
      </c>
      <c r="J146">
        <v>5.0489094999999998E-2</v>
      </c>
    </row>
    <row r="147" spans="1:10" x14ac:dyDescent="0.35">
      <c r="A147" t="s">
        <v>320</v>
      </c>
      <c r="B147" t="s">
        <v>320</v>
      </c>
      <c r="C147" t="s">
        <v>321</v>
      </c>
      <c r="D147">
        <v>6762511</v>
      </c>
      <c r="E147" t="s">
        <v>25</v>
      </c>
      <c r="F147">
        <v>18434</v>
      </c>
      <c r="G147">
        <v>224</v>
      </c>
      <c r="H147">
        <v>2726</v>
      </c>
      <c r="I147">
        <v>33</v>
      </c>
      <c r="J147">
        <v>1.2151459259999999</v>
      </c>
    </row>
    <row r="148" spans="1:10" x14ac:dyDescent="0.35">
      <c r="A148" t="s">
        <v>322</v>
      </c>
      <c r="B148" t="s">
        <v>322</v>
      </c>
      <c r="C148" t="s">
        <v>323</v>
      </c>
      <c r="D148">
        <v>25738714</v>
      </c>
      <c r="E148" t="s">
        <v>18</v>
      </c>
      <c r="F148">
        <v>8811</v>
      </c>
      <c r="G148">
        <v>308</v>
      </c>
      <c r="H148">
        <v>342</v>
      </c>
      <c r="I148">
        <v>12</v>
      </c>
      <c r="J148">
        <v>3.4956304619999998</v>
      </c>
    </row>
    <row r="149" spans="1:10" x14ac:dyDescent="0.35">
      <c r="A149" t="s">
        <v>324</v>
      </c>
      <c r="B149" t="s">
        <v>324</v>
      </c>
      <c r="C149" t="s">
        <v>325</v>
      </c>
      <c r="D149">
        <v>215077352</v>
      </c>
      <c r="E149" t="s">
        <v>18</v>
      </c>
      <c r="F149">
        <v>255468</v>
      </c>
      <c r="G149">
        <v>3142</v>
      </c>
      <c r="H149">
        <v>1188</v>
      </c>
      <c r="I149">
        <v>15</v>
      </c>
      <c r="J149">
        <v>1.229899635</v>
      </c>
    </row>
    <row r="150" spans="1:10" x14ac:dyDescent="0.35">
      <c r="A150" t="s">
        <v>326</v>
      </c>
      <c r="B150" t="s">
        <v>326</v>
      </c>
      <c r="C150" t="s">
        <v>327</v>
      </c>
      <c r="D150">
        <v>1645</v>
      </c>
      <c r="E150" t="s">
        <v>36</v>
      </c>
      <c r="F150">
        <v>7</v>
      </c>
      <c r="G150">
        <v>0</v>
      </c>
      <c r="H150">
        <v>4255</v>
      </c>
      <c r="I150">
        <v>0</v>
      </c>
      <c r="J150">
        <v>0</v>
      </c>
    </row>
    <row r="151" spans="1:10" x14ac:dyDescent="0.35">
      <c r="A151" t="s">
        <v>328</v>
      </c>
      <c r="B151" t="s">
        <v>329</v>
      </c>
      <c r="C151" t="s">
        <v>330</v>
      </c>
      <c r="D151">
        <v>2083224</v>
      </c>
      <c r="E151" t="s">
        <v>15</v>
      </c>
      <c r="F151">
        <v>306670</v>
      </c>
      <c r="G151">
        <v>9228</v>
      </c>
      <c r="H151">
        <v>147209</v>
      </c>
      <c r="I151">
        <v>4430</v>
      </c>
      <c r="J151">
        <v>3.0090977269999999</v>
      </c>
    </row>
    <row r="152" spans="1:10" x14ac:dyDescent="0.35">
      <c r="A152" t="s">
        <v>331</v>
      </c>
      <c r="B152" t="s">
        <v>331</v>
      </c>
      <c r="C152" t="s">
        <v>332</v>
      </c>
      <c r="D152">
        <v>5495449</v>
      </c>
      <c r="E152" t="s">
        <v>15</v>
      </c>
      <c r="F152">
        <v>1408708</v>
      </c>
      <c r="G152">
        <v>2518</v>
      </c>
      <c r="H152">
        <v>256341</v>
      </c>
      <c r="I152">
        <v>458</v>
      </c>
      <c r="J152">
        <v>0.178745347</v>
      </c>
    </row>
    <row r="153" spans="1:10" x14ac:dyDescent="0.35">
      <c r="A153" t="s">
        <v>333</v>
      </c>
      <c r="B153" t="s">
        <v>333</v>
      </c>
      <c r="C153" t="s">
        <v>334</v>
      </c>
      <c r="D153">
        <v>5333815</v>
      </c>
      <c r="E153" t="s">
        <v>12</v>
      </c>
      <c r="F153">
        <v>388468</v>
      </c>
      <c r="G153">
        <v>4251</v>
      </c>
      <c r="H153">
        <v>72831</v>
      </c>
      <c r="I153">
        <v>797</v>
      </c>
      <c r="J153">
        <v>1.0942986290000001</v>
      </c>
    </row>
    <row r="154" spans="1:10" x14ac:dyDescent="0.35">
      <c r="A154" t="s">
        <v>335</v>
      </c>
      <c r="B154" t="s">
        <v>335</v>
      </c>
      <c r="C154" t="s">
        <v>336</v>
      </c>
      <c r="D154">
        <v>228397520</v>
      </c>
      <c r="E154" t="s">
        <v>12</v>
      </c>
      <c r="F154">
        <v>1525466</v>
      </c>
      <c r="G154">
        <v>30361</v>
      </c>
      <c r="H154">
        <v>6679</v>
      </c>
      <c r="I154">
        <v>133</v>
      </c>
      <c r="J154">
        <v>1.990277069</v>
      </c>
    </row>
    <row r="155" spans="1:10" x14ac:dyDescent="0.35">
      <c r="A155" t="s">
        <v>337</v>
      </c>
      <c r="B155" t="s">
        <v>337</v>
      </c>
      <c r="C155" t="s">
        <v>338</v>
      </c>
      <c r="D155">
        <v>18245</v>
      </c>
      <c r="E155" t="s">
        <v>36</v>
      </c>
      <c r="F155">
        <v>4042</v>
      </c>
      <c r="G155">
        <v>6</v>
      </c>
      <c r="H155">
        <v>221540</v>
      </c>
      <c r="I155">
        <v>329</v>
      </c>
      <c r="J155">
        <v>0.14844136599999999</v>
      </c>
    </row>
    <row r="156" spans="1:10" x14ac:dyDescent="0.35">
      <c r="A156" t="s">
        <v>339</v>
      </c>
      <c r="B156" t="s">
        <v>340</v>
      </c>
      <c r="C156" t="s">
        <v>341</v>
      </c>
      <c r="D156">
        <v>5308883</v>
      </c>
      <c r="E156" t="s">
        <v>12</v>
      </c>
      <c r="F156">
        <v>581236</v>
      </c>
      <c r="G156">
        <v>5351</v>
      </c>
      <c r="H156">
        <v>109484</v>
      </c>
      <c r="I156">
        <v>1008</v>
      </c>
      <c r="J156">
        <v>0.92062432500000002</v>
      </c>
    </row>
    <row r="157" spans="1:10" x14ac:dyDescent="0.35">
      <c r="A157" t="s">
        <v>342</v>
      </c>
      <c r="B157" t="s">
        <v>342</v>
      </c>
      <c r="C157" t="s">
        <v>343</v>
      </c>
      <c r="D157">
        <v>4433639</v>
      </c>
      <c r="E157" t="s">
        <v>25</v>
      </c>
      <c r="F157">
        <v>765213</v>
      </c>
      <c r="G157">
        <v>8170</v>
      </c>
      <c r="H157">
        <v>172593</v>
      </c>
      <c r="I157">
        <v>1843</v>
      </c>
      <c r="J157">
        <v>1.067676582</v>
      </c>
    </row>
    <row r="158" spans="1:10" x14ac:dyDescent="0.35">
      <c r="A158" t="s">
        <v>344</v>
      </c>
      <c r="B158" t="s">
        <v>344</v>
      </c>
      <c r="C158" t="s">
        <v>345</v>
      </c>
      <c r="D158">
        <v>9243590</v>
      </c>
      <c r="E158" t="s">
        <v>36</v>
      </c>
      <c r="F158">
        <v>42203</v>
      </c>
      <c r="G158">
        <v>640</v>
      </c>
      <c r="H158">
        <v>4566</v>
      </c>
      <c r="I158">
        <v>69</v>
      </c>
      <c r="J158">
        <v>1.516479871</v>
      </c>
    </row>
    <row r="159" spans="1:10" x14ac:dyDescent="0.35">
      <c r="A159" t="s">
        <v>346</v>
      </c>
      <c r="B159" t="s">
        <v>346</v>
      </c>
      <c r="C159" t="s">
        <v>347</v>
      </c>
      <c r="D159">
        <v>7285892</v>
      </c>
      <c r="E159" t="s">
        <v>25</v>
      </c>
      <c r="F159">
        <v>648353</v>
      </c>
      <c r="G159">
        <v>18731</v>
      </c>
      <c r="H159">
        <v>88987</v>
      </c>
      <c r="I159">
        <v>2571</v>
      </c>
      <c r="J159">
        <v>2.889012621</v>
      </c>
    </row>
    <row r="160" spans="1:10" x14ac:dyDescent="0.35">
      <c r="A160" t="s">
        <v>348</v>
      </c>
      <c r="B160" t="s">
        <v>348</v>
      </c>
      <c r="C160" t="s">
        <v>349</v>
      </c>
      <c r="D160">
        <v>33775745</v>
      </c>
      <c r="E160" t="s">
        <v>25</v>
      </c>
      <c r="F160">
        <v>3548559</v>
      </c>
      <c r="G160">
        <v>212328</v>
      </c>
      <c r="H160">
        <v>105062</v>
      </c>
      <c r="I160">
        <v>6286</v>
      </c>
      <c r="J160">
        <v>5.9834992180000004</v>
      </c>
    </row>
    <row r="161" spans="1:10" x14ac:dyDescent="0.35">
      <c r="A161" t="s">
        <v>350</v>
      </c>
      <c r="B161" t="s">
        <v>350</v>
      </c>
      <c r="C161" t="s">
        <v>351</v>
      </c>
      <c r="D161">
        <v>112133868</v>
      </c>
      <c r="E161" t="s">
        <v>12</v>
      </c>
      <c r="F161">
        <v>3679485</v>
      </c>
      <c r="G161">
        <v>59343</v>
      </c>
      <c r="H161">
        <v>32813</v>
      </c>
      <c r="I161">
        <v>529</v>
      </c>
      <c r="J161">
        <v>1.612807227</v>
      </c>
    </row>
    <row r="162" spans="1:10" x14ac:dyDescent="0.35">
      <c r="A162" t="s">
        <v>352</v>
      </c>
      <c r="B162" t="s">
        <v>352</v>
      </c>
      <c r="C162" t="s">
        <v>353</v>
      </c>
      <c r="D162">
        <v>37774045</v>
      </c>
      <c r="E162" t="s">
        <v>15</v>
      </c>
      <c r="F162">
        <v>5969621</v>
      </c>
      <c r="G162">
        <v>115345</v>
      </c>
      <c r="H162">
        <v>158035</v>
      </c>
      <c r="I162">
        <v>3054</v>
      </c>
      <c r="J162">
        <v>1.932199716</v>
      </c>
    </row>
    <row r="163" spans="1:10" x14ac:dyDescent="0.35">
      <c r="A163" t="s">
        <v>354</v>
      </c>
      <c r="B163" t="s">
        <v>354</v>
      </c>
      <c r="C163" t="s">
        <v>355</v>
      </c>
      <c r="D163">
        <v>10144662</v>
      </c>
      <c r="E163" t="s">
        <v>15</v>
      </c>
      <c r="F163">
        <v>3604114</v>
      </c>
      <c r="G163">
        <v>21693</v>
      </c>
      <c r="H163">
        <v>355272</v>
      </c>
      <c r="I163">
        <v>2138</v>
      </c>
      <c r="J163">
        <v>0.601895501</v>
      </c>
    </row>
    <row r="164" spans="1:10" x14ac:dyDescent="0.35">
      <c r="A164" t="s">
        <v>356</v>
      </c>
      <c r="B164" t="s">
        <v>356</v>
      </c>
      <c r="C164" t="s">
        <v>357</v>
      </c>
      <c r="D164">
        <v>2807805</v>
      </c>
      <c r="E164" t="s">
        <v>12</v>
      </c>
      <c r="F164">
        <v>361819</v>
      </c>
      <c r="G164">
        <v>677</v>
      </c>
      <c r="H164">
        <v>128862</v>
      </c>
      <c r="I164">
        <v>241</v>
      </c>
      <c r="J164">
        <v>0.18711013000000001</v>
      </c>
    </row>
    <row r="165" spans="1:10" x14ac:dyDescent="0.35">
      <c r="A165" t="s">
        <v>358</v>
      </c>
      <c r="B165" t="s">
        <v>359</v>
      </c>
      <c r="C165" t="s">
        <v>360</v>
      </c>
      <c r="D165">
        <v>906497</v>
      </c>
      <c r="E165" t="s">
        <v>18</v>
      </c>
      <c r="F165">
        <v>336945</v>
      </c>
      <c r="G165">
        <v>709</v>
      </c>
      <c r="H165">
        <v>371700</v>
      </c>
      <c r="I165">
        <v>782</v>
      </c>
      <c r="J165">
        <v>0.210420098</v>
      </c>
    </row>
    <row r="166" spans="1:10" x14ac:dyDescent="0.35">
      <c r="A166" t="s">
        <v>361</v>
      </c>
      <c r="B166" t="s">
        <v>361</v>
      </c>
      <c r="C166" t="s">
        <v>362</v>
      </c>
      <c r="D166">
        <v>19013049</v>
      </c>
      <c r="E166" t="s">
        <v>15</v>
      </c>
      <c r="F166">
        <v>2860094</v>
      </c>
      <c r="G166">
        <v>65090</v>
      </c>
      <c r="H166">
        <v>150428</v>
      </c>
      <c r="I166">
        <v>3423</v>
      </c>
      <c r="J166">
        <v>2.2757993270000001</v>
      </c>
    </row>
    <row r="167" spans="1:10" x14ac:dyDescent="0.35">
      <c r="A167" t="s">
        <v>363</v>
      </c>
      <c r="B167" t="s">
        <v>364</v>
      </c>
      <c r="C167" t="s">
        <v>365</v>
      </c>
      <c r="D167">
        <v>146044010</v>
      </c>
      <c r="E167" t="s">
        <v>15</v>
      </c>
      <c r="F167">
        <v>17896866</v>
      </c>
      <c r="G167">
        <v>369708</v>
      </c>
      <c r="H167">
        <v>122544</v>
      </c>
      <c r="I167">
        <v>2531</v>
      </c>
      <c r="J167">
        <v>2.0657695039999999</v>
      </c>
    </row>
    <row r="168" spans="1:10" x14ac:dyDescent="0.35">
      <c r="A168" t="s">
        <v>366</v>
      </c>
      <c r="B168" t="s">
        <v>366</v>
      </c>
      <c r="C168" t="s">
        <v>367</v>
      </c>
      <c r="D168">
        <v>13513881</v>
      </c>
      <c r="E168" t="s">
        <v>18</v>
      </c>
      <c r="F168">
        <v>129728</v>
      </c>
      <c r="G168">
        <v>1458</v>
      </c>
      <c r="H168">
        <v>9600</v>
      </c>
      <c r="I168">
        <v>108</v>
      </c>
      <c r="J168">
        <v>1.1238899849999999</v>
      </c>
    </row>
    <row r="169" spans="1:10" x14ac:dyDescent="0.35">
      <c r="A169" t="s">
        <v>368</v>
      </c>
      <c r="B169" t="s">
        <v>369</v>
      </c>
      <c r="C169" t="s">
        <v>370</v>
      </c>
      <c r="D169">
        <v>51346429</v>
      </c>
      <c r="E169" t="s">
        <v>12</v>
      </c>
      <c r="F169">
        <v>13874216</v>
      </c>
      <c r="G169">
        <v>17235</v>
      </c>
      <c r="H169">
        <v>270208</v>
      </c>
      <c r="I169">
        <v>336</v>
      </c>
      <c r="J169">
        <v>0.124223235</v>
      </c>
    </row>
    <row r="170" spans="1:10" x14ac:dyDescent="0.35">
      <c r="A170" t="s">
        <v>371</v>
      </c>
      <c r="B170" t="s">
        <v>371</v>
      </c>
      <c r="C170" t="s">
        <v>372</v>
      </c>
      <c r="D170">
        <v>6109</v>
      </c>
      <c r="E170" t="s">
        <v>18</v>
      </c>
      <c r="F170">
        <v>2</v>
      </c>
      <c r="G170">
        <v>0</v>
      </c>
      <c r="H170">
        <v>327</v>
      </c>
      <c r="I170">
        <v>0</v>
      </c>
      <c r="J170">
        <v>0</v>
      </c>
    </row>
    <row r="171" spans="1:10" x14ac:dyDescent="0.35">
      <c r="A171" t="s">
        <v>373</v>
      </c>
      <c r="B171" t="s">
        <v>373</v>
      </c>
      <c r="C171" t="s">
        <v>374</v>
      </c>
      <c r="D171">
        <v>53858</v>
      </c>
      <c r="E171" t="s">
        <v>25</v>
      </c>
      <c r="F171">
        <v>5549</v>
      </c>
      <c r="G171">
        <v>43</v>
      </c>
      <c r="H171">
        <v>103030</v>
      </c>
      <c r="I171">
        <v>798</v>
      </c>
      <c r="J171">
        <v>0.77491439900000003</v>
      </c>
    </row>
    <row r="172" spans="1:10" x14ac:dyDescent="0.35">
      <c r="A172" t="s">
        <v>375</v>
      </c>
      <c r="B172" t="s">
        <v>375</v>
      </c>
      <c r="C172" t="s">
        <v>376</v>
      </c>
      <c r="D172">
        <v>185096</v>
      </c>
      <c r="E172" t="s">
        <v>25</v>
      </c>
      <c r="F172">
        <v>22964</v>
      </c>
      <c r="G172">
        <v>365</v>
      </c>
      <c r="H172">
        <v>124065</v>
      </c>
      <c r="I172">
        <v>1972</v>
      </c>
      <c r="J172">
        <v>1.589444348</v>
      </c>
    </row>
    <row r="173" spans="1:10" x14ac:dyDescent="0.35">
      <c r="A173" t="s">
        <v>377</v>
      </c>
      <c r="B173" t="s">
        <v>377</v>
      </c>
      <c r="C173" t="s">
        <v>378</v>
      </c>
      <c r="D173">
        <v>39820</v>
      </c>
      <c r="E173" t="s">
        <v>25</v>
      </c>
      <c r="F173">
        <v>10107</v>
      </c>
      <c r="G173">
        <v>63</v>
      </c>
      <c r="H173">
        <v>253817</v>
      </c>
      <c r="I173">
        <v>1582</v>
      </c>
      <c r="J173">
        <v>0.62333036500000005</v>
      </c>
    </row>
    <row r="174" spans="1:10" x14ac:dyDescent="0.35">
      <c r="A174" t="s">
        <v>379</v>
      </c>
      <c r="B174" t="s">
        <v>380</v>
      </c>
      <c r="C174" t="s">
        <v>381</v>
      </c>
      <c r="D174">
        <v>5744</v>
      </c>
      <c r="E174" t="s">
        <v>59</v>
      </c>
      <c r="F174">
        <v>1957</v>
      </c>
      <c r="G174">
        <v>1</v>
      </c>
      <c r="H174">
        <v>340703</v>
      </c>
      <c r="I174">
        <v>174</v>
      </c>
      <c r="J174">
        <v>5.1098619999999997E-2</v>
      </c>
    </row>
    <row r="175" spans="1:10" x14ac:dyDescent="0.35">
      <c r="A175" t="s">
        <v>382</v>
      </c>
      <c r="B175" t="s">
        <v>382</v>
      </c>
      <c r="C175" t="s">
        <v>383</v>
      </c>
      <c r="D175">
        <v>200722</v>
      </c>
      <c r="E175" t="s">
        <v>36</v>
      </c>
      <c r="F175">
        <v>2285</v>
      </c>
      <c r="G175">
        <v>1</v>
      </c>
      <c r="H175">
        <v>11384</v>
      </c>
      <c r="I175">
        <v>5</v>
      </c>
      <c r="J175">
        <v>4.3763676000000001E-2</v>
      </c>
    </row>
    <row r="176" spans="1:10" x14ac:dyDescent="0.35">
      <c r="A176" t="s">
        <v>384</v>
      </c>
      <c r="B176" t="s">
        <v>384</v>
      </c>
      <c r="C176" t="s">
        <v>385</v>
      </c>
      <c r="D176">
        <v>34056</v>
      </c>
      <c r="E176" t="s">
        <v>15</v>
      </c>
      <c r="F176">
        <v>15181</v>
      </c>
      <c r="G176">
        <v>113</v>
      </c>
      <c r="H176">
        <v>445766</v>
      </c>
      <c r="I176">
        <v>3318</v>
      </c>
      <c r="J176">
        <v>0.74435149199999995</v>
      </c>
    </row>
    <row r="177" spans="1:10" x14ac:dyDescent="0.35">
      <c r="A177" t="s">
        <v>386</v>
      </c>
      <c r="B177" t="s">
        <v>386</v>
      </c>
      <c r="C177" t="s">
        <v>387</v>
      </c>
      <c r="D177">
        <v>226281</v>
      </c>
      <c r="E177" t="s">
        <v>18</v>
      </c>
      <c r="F177">
        <v>5945</v>
      </c>
      <c r="G177">
        <v>73</v>
      </c>
      <c r="H177">
        <v>26273</v>
      </c>
      <c r="I177">
        <v>323</v>
      </c>
      <c r="J177">
        <v>1.2279226240000001</v>
      </c>
    </row>
    <row r="178" spans="1:10" x14ac:dyDescent="0.35">
      <c r="A178" t="s">
        <v>388</v>
      </c>
      <c r="B178" t="s">
        <v>388</v>
      </c>
      <c r="C178" t="s">
        <v>389</v>
      </c>
      <c r="D178">
        <v>35762746</v>
      </c>
      <c r="E178" t="s">
        <v>12</v>
      </c>
      <c r="F178">
        <v>751076</v>
      </c>
      <c r="G178">
        <v>9048</v>
      </c>
      <c r="H178">
        <v>21002</v>
      </c>
      <c r="I178">
        <v>253</v>
      </c>
      <c r="J178">
        <v>1.2046716980000001</v>
      </c>
    </row>
    <row r="179" spans="1:10" x14ac:dyDescent="0.35">
      <c r="A179" t="s">
        <v>390</v>
      </c>
      <c r="B179" t="s">
        <v>390</v>
      </c>
      <c r="C179" t="s">
        <v>391</v>
      </c>
      <c r="D179">
        <v>17515750</v>
      </c>
      <c r="E179" t="s">
        <v>18</v>
      </c>
      <c r="F179">
        <v>85919</v>
      </c>
      <c r="G179">
        <v>1965</v>
      </c>
      <c r="H179">
        <v>4905</v>
      </c>
      <c r="I179">
        <v>112</v>
      </c>
      <c r="J179">
        <v>2.2870377909999999</v>
      </c>
    </row>
    <row r="180" spans="1:10" x14ac:dyDescent="0.35">
      <c r="A180" t="s">
        <v>392</v>
      </c>
      <c r="B180" t="s">
        <v>392</v>
      </c>
      <c r="C180" t="s">
        <v>393</v>
      </c>
      <c r="D180">
        <v>8675762</v>
      </c>
      <c r="E180" t="s">
        <v>15</v>
      </c>
      <c r="F180">
        <v>1980722</v>
      </c>
      <c r="G180">
        <v>15825</v>
      </c>
      <c r="H180">
        <v>228305</v>
      </c>
      <c r="I180">
        <v>1824</v>
      </c>
      <c r="J180">
        <v>0.79895108999999997</v>
      </c>
    </row>
    <row r="181" spans="1:10" x14ac:dyDescent="0.35">
      <c r="A181" t="s">
        <v>394</v>
      </c>
      <c r="B181" t="s">
        <v>394</v>
      </c>
      <c r="C181" t="s">
        <v>395</v>
      </c>
      <c r="D181">
        <v>99413</v>
      </c>
      <c r="E181" t="s">
        <v>18</v>
      </c>
      <c r="F181">
        <v>40421</v>
      </c>
      <c r="G181">
        <v>164</v>
      </c>
      <c r="H181">
        <v>406597</v>
      </c>
      <c r="I181">
        <v>1650</v>
      </c>
      <c r="J181">
        <v>0.405729695</v>
      </c>
    </row>
    <row r="182" spans="1:10" x14ac:dyDescent="0.35">
      <c r="A182" t="s">
        <v>396</v>
      </c>
      <c r="B182" t="s">
        <v>396</v>
      </c>
      <c r="C182" t="s">
        <v>397</v>
      </c>
      <c r="D182">
        <v>8260822</v>
      </c>
      <c r="E182" t="s">
        <v>18</v>
      </c>
      <c r="F182">
        <v>7674</v>
      </c>
      <c r="G182">
        <v>125</v>
      </c>
      <c r="H182">
        <v>929</v>
      </c>
      <c r="I182">
        <v>15</v>
      </c>
      <c r="J182">
        <v>1.628876727</v>
      </c>
    </row>
    <row r="183" spans="1:10" x14ac:dyDescent="0.35">
      <c r="A183" t="s">
        <v>398</v>
      </c>
      <c r="B183" t="s">
        <v>398</v>
      </c>
      <c r="C183" t="s">
        <v>399</v>
      </c>
      <c r="D183">
        <v>5930887</v>
      </c>
      <c r="E183" t="s">
        <v>12</v>
      </c>
      <c r="F183">
        <v>1109744</v>
      </c>
      <c r="G183">
        <v>1276</v>
      </c>
      <c r="H183">
        <v>187113</v>
      </c>
      <c r="I183">
        <v>215</v>
      </c>
      <c r="J183">
        <v>0.114981473</v>
      </c>
    </row>
    <row r="184" spans="1:10" x14ac:dyDescent="0.35">
      <c r="A184" t="s">
        <v>400</v>
      </c>
      <c r="B184" t="s">
        <v>400</v>
      </c>
      <c r="C184" t="s">
        <v>401</v>
      </c>
      <c r="D184">
        <v>43728</v>
      </c>
      <c r="E184" t="s">
        <v>25</v>
      </c>
      <c r="F184">
        <v>9766</v>
      </c>
      <c r="G184">
        <v>86</v>
      </c>
      <c r="H184">
        <v>223335</v>
      </c>
      <c r="I184">
        <v>1967</v>
      </c>
      <c r="J184">
        <v>0.88060618499999999</v>
      </c>
    </row>
    <row r="185" spans="1:10" x14ac:dyDescent="0.35">
      <c r="A185" t="s">
        <v>402</v>
      </c>
      <c r="B185" t="s">
        <v>402</v>
      </c>
      <c r="C185" t="s">
        <v>403</v>
      </c>
      <c r="D185">
        <v>5464272</v>
      </c>
      <c r="E185" t="s">
        <v>15</v>
      </c>
      <c r="F185">
        <v>1725487</v>
      </c>
      <c r="G185">
        <v>19417</v>
      </c>
      <c r="H185">
        <v>315776</v>
      </c>
      <c r="I185">
        <v>3553</v>
      </c>
      <c r="J185">
        <v>1.1253054929999999</v>
      </c>
    </row>
    <row r="186" spans="1:10" x14ac:dyDescent="0.35">
      <c r="A186" t="s">
        <v>404</v>
      </c>
      <c r="B186" t="s">
        <v>404</v>
      </c>
      <c r="C186" t="s">
        <v>405</v>
      </c>
      <c r="D186">
        <v>2079438</v>
      </c>
      <c r="E186" t="s">
        <v>15</v>
      </c>
      <c r="F186">
        <v>973892</v>
      </c>
      <c r="G186">
        <v>6501</v>
      </c>
      <c r="H186">
        <v>468344</v>
      </c>
      <c r="I186">
        <v>3126</v>
      </c>
      <c r="J186">
        <v>0.667527816</v>
      </c>
    </row>
    <row r="187" spans="1:10" x14ac:dyDescent="0.35">
      <c r="A187" t="s">
        <v>406</v>
      </c>
      <c r="B187" t="s">
        <v>406</v>
      </c>
      <c r="C187" t="s">
        <v>407</v>
      </c>
      <c r="D187">
        <v>716351</v>
      </c>
      <c r="E187" t="s">
        <v>36</v>
      </c>
      <c r="F187">
        <v>11470</v>
      </c>
      <c r="G187">
        <v>133</v>
      </c>
      <c r="H187">
        <v>16012</v>
      </c>
      <c r="I187">
        <v>186</v>
      </c>
      <c r="J187">
        <v>1.1595466430000001</v>
      </c>
    </row>
    <row r="188" spans="1:10" x14ac:dyDescent="0.35">
      <c r="A188" t="s">
        <v>408</v>
      </c>
      <c r="B188" t="s">
        <v>408</v>
      </c>
      <c r="C188" t="s">
        <v>409</v>
      </c>
      <c r="D188">
        <v>16668781</v>
      </c>
      <c r="E188" t="s">
        <v>18</v>
      </c>
      <c r="F188">
        <v>26400</v>
      </c>
      <c r="G188">
        <v>1348</v>
      </c>
      <c r="H188">
        <v>1584</v>
      </c>
      <c r="I188">
        <v>81</v>
      </c>
      <c r="J188">
        <v>5.1060606059999998</v>
      </c>
    </row>
    <row r="189" spans="1:10" x14ac:dyDescent="0.35">
      <c r="A189" t="s">
        <v>410</v>
      </c>
      <c r="B189" t="s">
        <v>410</v>
      </c>
      <c r="C189" t="s">
        <v>411</v>
      </c>
      <c r="D189">
        <v>60617532</v>
      </c>
      <c r="E189" t="s">
        <v>18</v>
      </c>
      <c r="F189">
        <v>3722954</v>
      </c>
      <c r="G189">
        <v>100050</v>
      </c>
      <c r="H189">
        <v>61417</v>
      </c>
      <c r="I189">
        <v>1651</v>
      </c>
      <c r="J189">
        <v>2.6873821160000002</v>
      </c>
    </row>
    <row r="190" spans="1:10" x14ac:dyDescent="0.35">
      <c r="A190" t="s">
        <v>412</v>
      </c>
      <c r="B190" t="s">
        <v>412</v>
      </c>
      <c r="C190" t="s">
        <v>413</v>
      </c>
      <c r="D190">
        <v>11423439</v>
      </c>
      <c r="E190" t="s">
        <v>18</v>
      </c>
      <c r="F190">
        <v>17278</v>
      </c>
      <c r="G190">
        <v>138</v>
      </c>
      <c r="H190">
        <v>1513</v>
      </c>
      <c r="I190">
        <v>12</v>
      </c>
      <c r="J190">
        <v>0.79870355400000004</v>
      </c>
    </row>
    <row r="191" spans="1:10" x14ac:dyDescent="0.35">
      <c r="A191" t="s">
        <v>414</v>
      </c>
      <c r="B191" t="s">
        <v>414</v>
      </c>
      <c r="C191" t="s">
        <v>415</v>
      </c>
      <c r="D191">
        <v>46786482</v>
      </c>
      <c r="E191" t="s">
        <v>15</v>
      </c>
      <c r="F191">
        <v>11551574</v>
      </c>
      <c r="G191">
        <v>102541</v>
      </c>
      <c r="H191">
        <v>246900</v>
      </c>
      <c r="I191">
        <v>2192</v>
      </c>
      <c r="J191">
        <v>0.887679895</v>
      </c>
    </row>
    <row r="192" spans="1:10" x14ac:dyDescent="0.35">
      <c r="A192" t="s">
        <v>416</v>
      </c>
      <c r="B192" t="s">
        <v>416</v>
      </c>
      <c r="C192" t="s">
        <v>417</v>
      </c>
      <c r="D192">
        <v>21570428</v>
      </c>
      <c r="E192" t="s">
        <v>12</v>
      </c>
      <c r="F192">
        <v>661991</v>
      </c>
      <c r="G192">
        <v>16481</v>
      </c>
      <c r="H192">
        <v>30690</v>
      </c>
      <c r="I192">
        <v>764</v>
      </c>
      <c r="J192">
        <v>2.4896108859999999</v>
      </c>
    </row>
    <row r="193" spans="1:10" x14ac:dyDescent="0.35">
      <c r="A193" t="s">
        <v>418</v>
      </c>
      <c r="B193" t="s">
        <v>419</v>
      </c>
      <c r="C193" t="s">
        <v>420</v>
      </c>
      <c r="D193">
        <v>9930</v>
      </c>
      <c r="E193" t="s">
        <v>25</v>
      </c>
      <c r="F193">
        <v>4150</v>
      </c>
      <c r="G193">
        <v>6</v>
      </c>
      <c r="H193">
        <v>417925</v>
      </c>
      <c r="I193">
        <v>604</v>
      </c>
      <c r="J193">
        <v>0.14457831300000001</v>
      </c>
    </row>
    <row r="194" spans="1:10" x14ac:dyDescent="0.35">
      <c r="A194" t="s">
        <v>421</v>
      </c>
      <c r="B194" t="s">
        <v>422</v>
      </c>
      <c r="C194" t="s">
        <v>423</v>
      </c>
      <c r="D194">
        <v>111557</v>
      </c>
      <c r="E194" t="s">
        <v>25</v>
      </c>
      <c r="F194">
        <v>6746</v>
      </c>
      <c r="G194">
        <v>106</v>
      </c>
      <c r="H194">
        <v>60471</v>
      </c>
      <c r="I194">
        <v>950</v>
      </c>
      <c r="J194">
        <v>1.571301512</v>
      </c>
    </row>
    <row r="195" spans="1:10" x14ac:dyDescent="0.35">
      <c r="A195" t="s">
        <v>424</v>
      </c>
      <c r="B195" t="s">
        <v>424</v>
      </c>
      <c r="C195" t="s">
        <v>425</v>
      </c>
      <c r="D195">
        <v>45640385</v>
      </c>
      <c r="E195" t="s">
        <v>18</v>
      </c>
      <c r="F195">
        <v>61955</v>
      </c>
      <c r="G195">
        <v>4907</v>
      </c>
      <c r="H195">
        <v>1357</v>
      </c>
      <c r="I195">
        <v>108</v>
      </c>
      <c r="J195">
        <v>7.9202647080000004</v>
      </c>
    </row>
    <row r="196" spans="1:10" x14ac:dyDescent="0.35">
      <c r="A196" t="s">
        <v>426</v>
      </c>
      <c r="B196" t="s">
        <v>426</v>
      </c>
      <c r="C196" t="s">
        <v>427</v>
      </c>
      <c r="D196">
        <v>595833</v>
      </c>
      <c r="E196" t="s">
        <v>25</v>
      </c>
      <c r="F196">
        <v>79232</v>
      </c>
      <c r="G196">
        <v>1325</v>
      </c>
      <c r="H196">
        <v>132977</v>
      </c>
      <c r="I196">
        <v>2224</v>
      </c>
      <c r="J196">
        <v>1.6723041199999999</v>
      </c>
    </row>
    <row r="197" spans="1:10" x14ac:dyDescent="0.35">
      <c r="A197" t="s">
        <v>428</v>
      </c>
      <c r="B197" t="s">
        <v>428</v>
      </c>
      <c r="C197" t="s">
        <v>429</v>
      </c>
      <c r="D197">
        <v>10209507</v>
      </c>
      <c r="E197" t="s">
        <v>15</v>
      </c>
      <c r="F197">
        <v>2487852</v>
      </c>
      <c r="G197">
        <v>18331</v>
      </c>
      <c r="H197">
        <v>243680</v>
      </c>
      <c r="I197">
        <v>1795</v>
      </c>
      <c r="J197">
        <v>0.73682035700000004</v>
      </c>
    </row>
    <row r="198" spans="1:10" x14ac:dyDescent="0.35">
      <c r="A198" t="s">
        <v>430</v>
      </c>
      <c r="B198" t="s">
        <v>430</v>
      </c>
      <c r="C198" t="s">
        <v>431</v>
      </c>
      <c r="D198">
        <v>8765420</v>
      </c>
      <c r="E198" t="s">
        <v>15</v>
      </c>
      <c r="F198">
        <v>3490876</v>
      </c>
      <c r="G198">
        <v>13715</v>
      </c>
      <c r="H198">
        <v>398255</v>
      </c>
      <c r="I198">
        <v>1565</v>
      </c>
      <c r="J198">
        <v>0.39288132799999997</v>
      </c>
    </row>
    <row r="199" spans="1:10" x14ac:dyDescent="0.35">
      <c r="A199" t="s">
        <v>432</v>
      </c>
      <c r="B199" t="s">
        <v>433</v>
      </c>
      <c r="C199" t="s">
        <v>434</v>
      </c>
      <c r="D199">
        <v>18244381</v>
      </c>
      <c r="E199" t="s">
        <v>12</v>
      </c>
      <c r="F199">
        <v>55711</v>
      </c>
      <c r="G199">
        <v>3144</v>
      </c>
      <c r="H199">
        <v>3054</v>
      </c>
      <c r="I199">
        <v>172</v>
      </c>
      <c r="J199">
        <v>5.6434097400000001</v>
      </c>
    </row>
    <row r="200" spans="1:10" x14ac:dyDescent="0.35">
      <c r="A200" t="s">
        <v>435</v>
      </c>
      <c r="B200" t="s">
        <v>436</v>
      </c>
      <c r="C200" t="s">
        <v>437</v>
      </c>
      <c r="D200">
        <v>23892241</v>
      </c>
      <c r="E200" t="s">
        <v>12</v>
      </c>
      <c r="F200">
        <v>24310</v>
      </c>
      <c r="G200">
        <v>853</v>
      </c>
      <c r="H200">
        <v>1017</v>
      </c>
      <c r="I200">
        <v>36</v>
      </c>
      <c r="J200">
        <v>3.5088440969999999</v>
      </c>
    </row>
    <row r="201" spans="1:10" x14ac:dyDescent="0.35">
      <c r="A201" t="s">
        <v>438</v>
      </c>
      <c r="B201" t="s">
        <v>438</v>
      </c>
      <c r="C201" t="s">
        <v>439</v>
      </c>
      <c r="D201">
        <v>9912437</v>
      </c>
      <c r="E201" t="s">
        <v>12</v>
      </c>
      <c r="F201">
        <v>17388</v>
      </c>
      <c r="G201">
        <v>124</v>
      </c>
      <c r="H201">
        <v>1754</v>
      </c>
      <c r="I201">
        <v>13</v>
      </c>
      <c r="J201">
        <v>0.71313549600000004</v>
      </c>
    </row>
    <row r="202" spans="1:10" x14ac:dyDescent="0.35">
      <c r="A202" t="s">
        <v>440</v>
      </c>
      <c r="B202" t="s">
        <v>441</v>
      </c>
      <c r="C202" t="s">
        <v>442</v>
      </c>
      <c r="D202">
        <v>62710097</v>
      </c>
      <c r="E202" t="s">
        <v>18</v>
      </c>
      <c r="F202">
        <v>33815</v>
      </c>
      <c r="G202">
        <v>800</v>
      </c>
      <c r="H202">
        <v>539</v>
      </c>
      <c r="I202">
        <v>13</v>
      </c>
      <c r="J202">
        <v>2.3658139880000002</v>
      </c>
    </row>
    <row r="203" spans="1:10" x14ac:dyDescent="0.35">
      <c r="A203" t="s">
        <v>443</v>
      </c>
      <c r="B203" t="s">
        <v>443</v>
      </c>
      <c r="C203" t="s">
        <v>444</v>
      </c>
      <c r="D203">
        <v>70106601</v>
      </c>
      <c r="E203" t="s">
        <v>12</v>
      </c>
      <c r="F203">
        <v>3711595</v>
      </c>
      <c r="G203">
        <v>25418</v>
      </c>
      <c r="H203">
        <v>52942</v>
      </c>
      <c r="I203">
        <v>363</v>
      </c>
      <c r="J203">
        <v>0.68482687399999997</v>
      </c>
    </row>
    <row r="204" spans="1:10" x14ac:dyDescent="0.35">
      <c r="A204" t="s">
        <v>445</v>
      </c>
      <c r="B204" t="s">
        <v>445</v>
      </c>
      <c r="C204" t="s">
        <v>446</v>
      </c>
      <c r="D204">
        <v>1362386</v>
      </c>
      <c r="E204" t="s">
        <v>12</v>
      </c>
      <c r="F204">
        <v>22832</v>
      </c>
      <c r="G204">
        <v>130</v>
      </c>
      <c r="H204">
        <v>16759</v>
      </c>
      <c r="I204">
        <v>95</v>
      </c>
      <c r="J204">
        <v>0.56937631399999999</v>
      </c>
    </row>
    <row r="205" spans="1:10" x14ac:dyDescent="0.35">
      <c r="A205" t="s">
        <v>447</v>
      </c>
      <c r="B205" t="s">
        <v>447</v>
      </c>
      <c r="C205" t="s">
        <v>448</v>
      </c>
      <c r="D205">
        <v>8618172</v>
      </c>
      <c r="E205" t="s">
        <v>18</v>
      </c>
      <c r="F205">
        <v>36944</v>
      </c>
      <c r="G205">
        <v>272</v>
      </c>
      <c r="H205">
        <v>4287</v>
      </c>
      <c r="I205">
        <v>32</v>
      </c>
      <c r="J205">
        <v>0.73624945900000005</v>
      </c>
    </row>
    <row r="206" spans="1:10" x14ac:dyDescent="0.35">
      <c r="A206" t="s">
        <v>449</v>
      </c>
      <c r="B206" t="s">
        <v>449</v>
      </c>
      <c r="C206" t="s">
        <v>450</v>
      </c>
      <c r="D206">
        <v>107792</v>
      </c>
      <c r="E206" t="s">
        <v>36</v>
      </c>
      <c r="F206">
        <v>7127</v>
      </c>
      <c r="G206">
        <v>9</v>
      </c>
      <c r="H206">
        <v>66118</v>
      </c>
      <c r="I206">
        <v>83</v>
      </c>
      <c r="J206">
        <v>0.12628034199999999</v>
      </c>
    </row>
    <row r="207" spans="1:10" x14ac:dyDescent="0.35">
      <c r="A207" t="s">
        <v>451</v>
      </c>
      <c r="B207" t="s">
        <v>451</v>
      </c>
      <c r="C207" t="s">
        <v>452</v>
      </c>
      <c r="D207">
        <v>1407422</v>
      </c>
      <c r="E207" t="s">
        <v>25</v>
      </c>
      <c r="F207">
        <v>138425</v>
      </c>
      <c r="G207">
        <v>3756</v>
      </c>
      <c r="H207">
        <v>98354</v>
      </c>
      <c r="I207">
        <v>2669</v>
      </c>
      <c r="J207">
        <v>2.7133826980000002</v>
      </c>
    </row>
    <row r="208" spans="1:10" x14ac:dyDescent="0.35">
      <c r="A208" t="s">
        <v>453</v>
      </c>
      <c r="B208" t="s">
        <v>453</v>
      </c>
      <c r="C208" t="s">
        <v>454</v>
      </c>
      <c r="D208">
        <v>12035092</v>
      </c>
      <c r="E208" t="s">
        <v>18</v>
      </c>
      <c r="F208">
        <v>1035884</v>
      </c>
      <c r="G208">
        <v>28323</v>
      </c>
      <c r="H208">
        <v>86072</v>
      </c>
      <c r="I208">
        <v>2353</v>
      </c>
      <c r="J208">
        <v>2.734186453</v>
      </c>
    </row>
    <row r="209" spans="1:10" x14ac:dyDescent="0.35">
      <c r="A209" t="s">
        <v>455</v>
      </c>
      <c r="B209" t="s">
        <v>455</v>
      </c>
      <c r="C209" t="s">
        <v>456</v>
      </c>
      <c r="D209">
        <v>85927644</v>
      </c>
      <c r="E209" t="s">
        <v>12</v>
      </c>
      <c r="F209">
        <v>14894731</v>
      </c>
      <c r="G209">
        <v>98157</v>
      </c>
      <c r="H209">
        <v>173340</v>
      </c>
      <c r="I209">
        <v>1142</v>
      </c>
      <c r="J209">
        <v>0.65900485200000003</v>
      </c>
    </row>
    <row r="210" spans="1:10" x14ac:dyDescent="0.35">
      <c r="A210" t="s">
        <v>457</v>
      </c>
      <c r="B210" t="s">
        <v>458</v>
      </c>
      <c r="C210" t="s">
        <v>459</v>
      </c>
      <c r="D210">
        <v>39634</v>
      </c>
      <c r="E210" t="s">
        <v>25</v>
      </c>
      <c r="F210">
        <v>5910</v>
      </c>
      <c r="G210">
        <v>36</v>
      </c>
      <c r="H210">
        <v>149114</v>
      </c>
      <c r="I210">
        <v>908</v>
      </c>
      <c r="J210">
        <v>0.60913705600000001</v>
      </c>
    </row>
    <row r="211" spans="1:10" x14ac:dyDescent="0.35">
      <c r="A211" t="s">
        <v>460</v>
      </c>
      <c r="B211" t="s">
        <v>460</v>
      </c>
      <c r="C211" t="s">
        <v>461</v>
      </c>
      <c r="D211">
        <v>10099567</v>
      </c>
      <c r="E211" t="s">
        <v>12</v>
      </c>
      <c r="F211">
        <v>892170</v>
      </c>
      <c r="G211">
        <v>2302</v>
      </c>
      <c r="H211">
        <v>88337</v>
      </c>
      <c r="I211">
        <v>228</v>
      </c>
      <c r="J211">
        <v>0.258022574</v>
      </c>
    </row>
    <row r="212" spans="1:10" x14ac:dyDescent="0.35">
      <c r="A212" t="s">
        <v>462</v>
      </c>
      <c r="B212" t="s">
        <v>462</v>
      </c>
      <c r="C212" t="s">
        <v>463</v>
      </c>
      <c r="D212">
        <v>48267221</v>
      </c>
      <c r="E212" t="s">
        <v>18</v>
      </c>
      <c r="F212">
        <v>163936</v>
      </c>
      <c r="G212">
        <v>3595</v>
      </c>
      <c r="H212">
        <v>3396</v>
      </c>
      <c r="I212">
        <v>74</v>
      </c>
      <c r="J212">
        <v>2.192928948</v>
      </c>
    </row>
    <row r="213" spans="1:10" x14ac:dyDescent="0.35">
      <c r="A213" t="s">
        <v>496</v>
      </c>
      <c r="B213" t="s">
        <v>464</v>
      </c>
      <c r="C213" t="s">
        <v>465</v>
      </c>
      <c r="D213">
        <v>68510300</v>
      </c>
      <c r="E213" t="s">
        <v>15</v>
      </c>
      <c r="F213">
        <v>21216874</v>
      </c>
      <c r="G213">
        <v>165570</v>
      </c>
      <c r="H213">
        <v>309689</v>
      </c>
      <c r="I213">
        <v>2417</v>
      </c>
      <c r="J213">
        <v>0.78036943599999997</v>
      </c>
    </row>
    <row r="214" spans="1:10" x14ac:dyDescent="0.35">
      <c r="A214" t="s">
        <v>466</v>
      </c>
      <c r="B214" t="s">
        <v>466</v>
      </c>
      <c r="C214" t="s">
        <v>467</v>
      </c>
      <c r="D214">
        <v>43273831</v>
      </c>
      <c r="E214" t="s">
        <v>15</v>
      </c>
      <c r="F214">
        <v>4968881</v>
      </c>
      <c r="G214">
        <v>107980</v>
      </c>
      <c r="H214">
        <v>114824</v>
      </c>
      <c r="I214">
        <v>2495</v>
      </c>
      <c r="J214">
        <v>2.1731250960000001</v>
      </c>
    </row>
    <row r="215" spans="1:10" x14ac:dyDescent="0.35">
      <c r="A215" t="s">
        <v>468</v>
      </c>
      <c r="B215" t="s">
        <v>468</v>
      </c>
      <c r="C215" t="s">
        <v>469</v>
      </c>
      <c r="D215">
        <v>3494806</v>
      </c>
      <c r="E215" t="s">
        <v>25</v>
      </c>
      <c r="F215">
        <v>889513</v>
      </c>
      <c r="G215">
        <v>7166</v>
      </c>
      <c r="H215">
        <v>254524</v>
      </c>
      <c r="I215">
        <v>2050</v>
      </c>
      <c r="J215">
        <v>0.805609362</v>
      </c>
    </row>
    <row r="216" spans="1:10" x14ac:dyDescent="0.35">
      <c r="A216" t="s">
        <v>471</v>
      </c>
      <c r="B216" t="s">
        <v>471</v>
      </c>
      <c r="C216" t="s">
        <v>470</v>
      </c>
      <c r="D216">
        <v>334400597</v>
      </c>
      <c r="E216" t="s">
        <v>59</v>
      </c>
      <c r="F216">
        <v>81839052</v>
      </c>
      <c r="G216">
        <v>1008222</v>
      </c>
      <c r="H216">
        <v>244734</v>
      </c>
      <c r="I216">
        <v>3015</v>
      </c>
      <c r="J216">
        <v>1.231957086</v>
      </c>
    </row>
    <row r="217" spans="1:10" x14ac:dyDescent="0.35">
      <c r="A217" t="s">
        <v>472</v>
      </c>
      <c r="B217" t="s">
        <v>472</v>
      </c>
      <c r="C217" t="s">
        <v>473</v>
      </c>
      <c r="D217">
        <v>34318156</v>
      </c>
      <c r="E217" t="s">
        <v>12</v>
      </c>
      <c r="F217">
        <v>237853</v>
      </c>
      <c r="G217">
        <v>1637</v>
      </c>
      <c r="H217">
        <v>6931</v>
      </c>
      <c r="I217">
        <v>48</v>
      </c>
      <c r="J217">
        <v>0.68824021599999996</v>
      </c>
    </row>
    <row r="218" spans="1:10" x14ac:dyDescent="0.35">
      <c r="A218" t="s">
        <v>474</v>
      </c>
      <c r="B218" t="s">
        <v>474</v>
      </c>
      <c r="C218" t="s">
        <v>475</v>
      </c>
      <c r="D218">
        <v>319701</v>
      </c>
      <c r="E218" t="s">
        <v>36</v>
      </c>
      <c r="F218">
        <v>4107</v>
      </c>
      <c r="G218">
        <v>2</v>
      </c>
      <c r="H218">
        <v>12846</v>
      </c>
      <c r="I218">
        <v>6</v>
      </c>
      <c r="J218">
        <v>4.8697346000000002E-2</v>
      </c>
    </row>
    <row r="219" spans="1:10" x14ac:dyDescent="0.35">
      <c r="A219" t="s">
        <v>476</v>
      </c>
      <c r="B219" t="s">
        <v>477</v>
      </c>
      <c r="C219" t="s">
        <v>478</v>
      </c>
      <c r="D219">
        <v>805</v>
      </c>
      <c r="E219" t="s">
        <v>15</v>
      </c>
      <c r="F219">
        <v>29</v>
      </c>
      <c r="G219">
        <v>0</v>
      </c>
      <c r="H219">
        <v>36025</v>
      </c>
      <c r="I219">
        <v>0</v>
      </c>
      <c r="J219">
        <v>0</v>
      </c>
    </row>
    <row r="220" spans="1:10" x14ac:dyDescent="0.35">
      <c r="A220" t="s">
        <v>479</v>
      </c>
      <c r="B220" t="s">
        <v>480</v>
      </c>
      <c r="C220" t="s">
        <v>481</v>
      </c>
      <c r="D220">
        <v>28294895</v>
      </c>
      <c r="E220" t="s">
        <v>25</v>
      </c>
      <c r="F220">
        <v>520843</v>
      </c>
      <c r="G220">
        <v>5686</v>
      </c>
      <c r="H220">
        <v>18408</v>
      </c>
      <c r="I220">
        <v>201</v>
      </c>
      <c r="J220">
        <v>1.091691738</v>
      </c>
    </row>
    <row r="221" spans="1:10" x14ac:dyDescent="0.35">
      <c r="A221" t="s">
        <v>482</v>
      </c>
      <c r="B221" t="s">
        <v>483</v>
      </c>
      <c r="C221" t="s">
        <v>484</v>
      </c>
      <c r="D221">
        <v>98871712</v>
      </c>
      <c r="E221" t="s">
        <v>12</v>
      </c>
      <c r="F221">
        <v>9818328</v>
      </c>
      <c r="G221">
        <v>42600</v>
      </c>
      <c r="H221">
        <v>99304</v>
      </c>
      <c r="I221">
        <v>431</v>
      </c>
      <c r="J221">
        <v>0.43388242900000001</v>
      </c>
    </row>
    <row r="222" spans="1:10" x14ac:dyDescent="0.35">
      <c r="A222" t="s">
        <v>485</v>
      </c>
      <c r="B222" t="s">
        <v>486</v>
      </c>
      <c r="C222" t="s">
        <v>487</v>
      </c>
      <c r="D222">
        <v>10894</v>
      </c>
      <c r="E222" t="s">
        <v>36</v>
      </c>
      <c r="F222">
        <v>454</v>
      </c>
      <c r="G222">
        <v>7</v>
      </c>
      <c r="H222">
        <v>41674</v>
      </c>
      <c r="I222">
        <v>643</v>
      </c>
      <c r="J222">
        <v>1.5418502199999999</v>
      </c>
    </row>
    <row r="223" spans="1:10" x14ac:dyDescent="0.35">
      <c r="A223" t="s">
        <v>488</v>
      </c>
      <c r="B223" t="s">
        <v>488</v>
      </c>
      <c r="C223" t="s">
        <v>489</v>
      </c>
      <c r="D223">
        <v>623031</v>
      </c>
      <c r="E223" t="s">
        <v>18</v>
      </c>
      <c r="F223">
        <v>10</v>
      </c>
      <c r="G223">
        <v>1</v>
      </c>
      <c r="H223">
        <v>16</v>
      </c>
      <c r="I223">
        <v>2</v>
      </c>
      <c r="J223">
        <v>10</v>
      </c>
    </row>
    <row r="224" spans="1:10" x14ac:dyDescent="0.35">
      <c r="A224" t="s">
        <v>490</v>
      </c>
      <c r="B224" t="s">
        <v>490</v>
      </c>
      <c r="C224" t="s">
        <v>491</v>
      </c>
      <c r="D224">
        <v>30975258</v>
      </c>
      <c r="E224" t="s">
        <v>12</v>
      </c>
      <c r="F224">
        <v>11806</v>
      </c>
      <c r="G224">
        <v>2143</v>
      </c>
      <c r="H224">
        <v>381</v>
      </c>
      <c r="I224">
        <v>69</v>
      </c>
      <c r="J224">
        <v>18.15178723</v>
      </c>
    </row>
    <row r="225" spans="1:10" x14ac:dyDescent="0.35">
      <c r="A225" t="s">
        <v>492</v>
      </c>
      <c r="B225" t="s">
        <v>492</v>
      </c>
      <c r="C225" t="s">
        <v>493</v>
      </c>
      <c r="D225">
        <v>19284482</v>
      </c>
      <c r="E225" t="s">
        <v>18</v>
      </c>
      <c r="F225">
        <v>317076</v>
      </c>
      <c r="G225">
        <v>3967</v>
      </c>
      <c r="H225">
        <v>16442</v>
      </c>
      <c r="I225">
        <v>206</v>
      </c>
      <c r="J225">
        <v>1.251119605</v>
      </c>
    </row>
    <row r="226" spans="1:10" x14ac:dyDescent="0.35">
      <c r="A226" t="s">
        <v>494</v>
      </c>
      <c r="B226" t="s">
        <v>494</v>
      </c>
      <c r="C226" t="s">
        <v>495</v>
      </c>
      <c r="D226">
        <v>15241601</v>
      </c>
      <c r="E226" t="s">
        <v>18</v>
      </c>
      <c r="F226">
        <v>246525</v>
      </c>
      <c r="G226">
        <v>5446</v>
      </c>
      <c r="H226">
        <v>16174</v>
      </c>
      <c r="I226">
        <v>357</v>
      </c>
      <c r="J226">
        <v>2.2091065809999999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D797C-11F8-4A74-B1C4-A1C45FDCFD0B}">
  <dimension ref="A1:I226"/>
  <sheetViews>
    <sheetView topLeftCell="D2" workbookViewId="0">
      <selection activeCell="I2" sqref="I2"/>
    </sheetView>
  </sheetViews>
  <sheetFormatPr defaultRowHeight="14.5" x14ac:dyDescent="0.35"/>
  <cols>
    <col min="1" max="1" width="31.54296875" bestFit="1" customWidth="1"/>
    <col min="2" max="2" width="13" style="1" bestFit="1" customWidth="1"/>
    <col min="3" max="3" width="30.26953125" bestFit="1" customWidth="1"/>
    <col min="4" max="4" width="13.1796875" style="1" bestFit="1" customWidth="1"/>
    <col min="5" max="5" width="14.26953125" style="1" bestFit="1" customWidth="1"/>
    <col min="6" max="6" width="21" style="1" bestFit="1" customWidth="1"/>
    <col min="7" max="7" width="22.1796875" style="1" bestFit="1" customWidth="1"/>
    <col min="8" max="8" width="19.81640625" bestFit="1" customWidth="1"/>
    <col min="9" max="9" width="19.26953125" customWidth="1"/>
  </cols>
  <sheetData>
    <row r="1" spans="1:9" x14ac:dyDescent="0.35">
      <c r="A1" t="s">
        <v>0</v>
      </c>
      <c r="B1" s="1" t="s">
        <v>3</v>
      </c>
      <c r="C1" t="s">
        <v>4</v>
      </c>
      <c r="D1" s="1" t="s">
        <v>5</v>
      </c>
      <c r="E1" s="1" t="s">
        <v>6</v>
      </c>
      <c r="F1" s="1" t="s">
        <v>497</v>
      </c>
      <c r="G1" s="1" t="s">
        <v>498</v>
      </c>
      <c r="H1" t="s">
        <v>9</v>
      </c>
      <c r="I1" t="s">
        <v>508</v>
      </c>
    </row>
    <row r="2" spans="1:9" x14ac:dyDescent="0.35">
      <c r="A2" t="s">
        <v>10</v>
      </c>
      <c r="B2" s="1">
        <v>40462186</v>
      </c>
      <c r="C2" t="s">
        <v>12</v>
      </c>
      <c r="D2" s="1">
        <v>177827</v>
      </c>
      <c r="E2" s="1">
        <v>7671</v>
      </c>
      <c r="F2" s="1">
        <v>4395</v>
      </c>
      <c r="G2" s="1">
        <v>190</v>
      </c>
      <c r="H2" s="2">
        <f>COVID_19_Coronavirus[[#This Row],[Total Deaths]]/COVID_19_Coronavirus[[#This Row],[Total Cases]]</f>
        <v>4.3137431323702249E-2</v>
      </c>
      <c r="I2" s="1">
        <f>COVID_19_Coronavirus[[#This Row],[Total Cases]]-COVID_19_Coronavirus[[#This Row],[Total Deaths]]</f>
        <v>170156</v>
      </c>
    </row>
    <row r="3" spans="1:9" x14ac:dyDescent="0.35">
      <c r="A3" t="s">
        <v>13</v>
      </c>
      <c r="B3" s="1">
        <v>2872296</v>
      </c>
      <c r="C3" t="s">
        <v>15</v>
      </c>
      <c r="D3" s="1">
        <v>273870</v>
      </c>
      <c r="E3" s="1">
        <v>3492</v>
      </c>
      <c r="F3" s="1">
        <v>95349</v>
      </c>
      <c r="G3" s="1">
        <v>1216</v>
      </c>
      <c r="H3" s="2">
        <f>COVID_19_Coronavirus[[#This Row],[Total Deaths]]/COVID_19_Coronavirus[[#This Row],[Total Cases]]</f>
        <v>1.2750575090371344E-2</v>
      </c>
      <c r="I3" s="1">
        <f>COVID_19_Coronavirus[[#This Row],[Total Cases]]-COVID_19_Coronavirus[[#This Row],[Total Deaths]]</f>
        <v>270378</v>
      </c>
    </row>
    <row r="4" spans="1:9" x14ac:dyDescent="0.35">
      <c r="A4" t="s">
        <v>16</v>
      </c>
      <c r="B4" s="1">
        <v>45236699</v>
      </c>
      <c r="C4" t="s">
        <v>18</v>
      </c>
      <c r="D4" s="1">
        <v>265691</v>
      </c>
      <c r="E4" s="1">
        <v>6874</v>
      </c>
      <c r="F4" s="1">
        <v>5873</v>
      </c>
      <c r="G4" s="1">
        <v>152</v>
      </c>
      <c r="H4" s="2">
        <f>COVID_19_Coronavirus[[#This Row],[Total Deaths]]/COVID_19_Coronavirus[[#This Row],[Total Cases]]</f>
        <v>2.5872159764538504E-2</v>
      </c>
      <c r="I4" s="1">
        <f>COVID_19_Coronavirus[[#This Row],[Total Cases]]-COVID_19_Coronavirus[[#This Row],[Total Deaths]]</f>
        <v>258817</v>
      </c>
    </row>
    <row r="5" spans="1:9" x14ac:dyDescent="0.35">
      <c r="A5" t="s">
        <v>19</v>
      </c>
      <c r="B5" s="1">
        <v>77481</v>
      </c>
      <c r="C5" t="s">
        <v>15</v>
      </c>
      <c r="D5" s="1">
        <v>40024</v>
      </c>
      <c r="E5" s="1">
        <v>153</v>
      </c>
      <c r="F5" s="1">
        <v>516565</v>
      </c>
      <c r="G5" s="1">
        <v>1975</v>
      </c>
      <c r="H5" s="2">
        <f>COVID_19_Coronavirus[[#This Row],[Total Deaths]]/COVID_19_Coronavirus[[#This Row],[Total Cases]]</f>
        <v>3.8227063761742952E-3</v>
      </c>
      <c r="I5" s="1">
        <f>COVID_19_Coronavirus[[#This Row],[Total Cases]]-COVID_19_Coronavirus[[#This Row],[Total Deaths]]</f>
        <v>39871</v>
      </c>
    </row>
    <row r="6" spans="1:9" x14ac:dyDescent="0.35">
      <c r="A6" t="s">
        <v>21</v>
      </c>
      <c r="B6" s="1">
        <v>34654212</v>
      </c>
      <c r="C6" t="s">
        <v>18</v>
      </c>
      <c r="D6" s="1">
        <v>99194</v>
      </c>
      <c r="E6" s="1">
        <v>1900</v>
      </c>
      <c r="F6" s="1">
        <v>2862</v>
      </c>
      <c r="G6" s="1">
        <v>55</v>
      </c>
      <c r="H6" s="2">
        <f>COVID_19_Coronavirus[[#This Row],[Total Deaths]]/COVID_19_Coronavirus[[#This Row],[Total Cases]]</f>
        <v>1.9154384337762363E-2</v>
      </c>
      <c r="I6" s="1">
        <f>COVID_19_Coronavirus[[#This Row],[Total Cases]]-COVID_19_Coronavirus[[#This Row],[Total Deaths]]</f>
        <v>97294</v>
      </c>
    </row>
    <row r="7" spans="1:9" x14ac:dyDescent="0.35">
      <c r="A7" t="s">
        <v>23</v>
      </c>
      <c r="B7" s="1">
        <v>15237</v>
      </c>
      <c r="C7" t="s">
        <v>25</v>
      </c>
      <c r="D7" s="1">
        <v>2700</v>
      </c>
      <c r="E7" s="1">
        <v>9</v>
      </c>
      <c r="F7" s="1">
        <v>177200</v>
      </c>
      <c r="G7" s="1">
        <v>591</v>
      </c>
      <c r="H7" s="2">
        <f>COVID_19_Coronavirus[[#This Row],[Total Deaths]]/COVID_19_Coronavirus[[#This Row],[Total Cases]]</f>
        <v>3.3333333333333335E-3</v>
      </c>
      <c r="I7" s="1">
        <f>COVID_19_Coronavirus[[#This Row],[Total Cases]]-COVID_19_Coronavirus[[#This Row],[Total Deaths]]</f>
        <v>2691</v>
      </c>
    </row>
    <row r="8" spans="1:9" x14ac:dyDescent="0.35">
      <c r="A8" t="s">
        <v>26</v>
      </c>
      <c r="B8" s="1">
        <v>99348</v>
      </c>
      <c r="C8" t="s">
        <v>25</v>
      </c>
      <c r="D8" s="1">
        <v>7493</v>
      </c>
      <c r="E8" s="1">
        <v>135</v>
      </c>
      <c r="F8" s="1">
        <v>75422</v>
      </c>
      <c r="G8" s="1">
        <v>1359</v>
      </c>
      <c r="H8" s="2">
        <f>COVID_19_Coronavirus[[#This Row],[Total Deaths]]/COVID_19_Coronavirus[[#This Row],[Total Cases]]</f>
        <v>1.8016815694648337E-2</v>
      </c>
      <c r="I8" s="1">
        <f>COVID_19_Coronavirus[[#This Row],[Total Cases]]-COVID_19_Coronavirus[[#This Row],[Total Deaths]]</f>
        <v>7358</v>
      </c>
    </row>
    <row r="9" spans="1:9" x14ac:dyDescent="0.35">
      <c r="A9" t="s">
        <v>28</v>
      </c>
      <c r="B9" s="1">
        <v>45921761</v>
      </c>
      <c r="C9" t="s">
        <v>25</v>
      </c>
      <c r="D9" s="1">
        <v>9041124</v>
      </c>
      <c r="E9" s="1">
        <v>128065</v>
      </c>
      <c r="F9" s="1">
        <v>196881</v>
      </c>
      <c r="G9" s="1">
        <v>2789</v>
      </c>
      <c r="H9" s="2">
        <f>COVID_19_Coronavirus[[#This Row],[Total Deaths]]/COVID_19_Coronavirus[[#This Row],[Total Cases]]</f>
        <v>1.4164721112109513E-2</v>
      </c>
      <c r="I9" s="1">
        <f>COVID_19_Coronavirus[[#This Row],[Total Cases]]-COVID_19_Coronavirus[[#This Row],[Total Deaths]]</f>
        <v>8913059</v>
      </c>
    </row>
    <row r="10" spans="1:9" x14ac:dyDescent="0.35">
      <c r="A10" t="s">
        <v>30</v>
      </c>
      <c r="B10" s="1">
        <v>2972939</v>
      </c>
      <c r="C10" t="s">
        <v>12</v>
      </c>
      <c r="D10" s="1">
        <v>422574</v>
      </c>
      <c r="E10" s="1">
        <v>8617</v>
      </c>
      <c r="F10" s="1">
        <v>142140</v>
      </c>
      <c r="G10" s="1">
        <v>2898</v>
      </c>
      <c r="H10" s="2">
        <f>COVID_19_Coronavirus[[#This Row],[Total Deaths]]/COVID_19_Coronavirus[[#This Row],[Total Cases]]</f>
        <v>2.0391694709092373E-2</v>
      </c>
      <c r="I10" s="1">
        <f>COVID_19_Coronavirus[[#This Row],[Total Cases]]-COVID_19_Coronavirus[[#This Row],[Total Deaths]]</f>
        <v>413957</v>
      </c>
    </row>
    <row r="11" spans="1:9" x14ac:dyDescent="0.35">
      <c r="A11" t="s">
        <v>32</v>
      </c>
      <c r="B11" s="1">
        <v>107560</v>
      </c>
      <c r="C11" t="s">
        <v>25</v>
      </c>
      <c r="D11" s="1">
        <v>34051</v>
      </c>
      <c r="E11" s="1">
        <v>212</v>
      </c>
      <c r="F11" s="1">
        <v>316577</v>
      </c>
      <c r="G11" s="1">
        <v>1971</v>
      </c>
      <c r="H11" s="2">
        <f>COVID_19_Coronavirus[[#This Row],[Total Deaths]]/COVID_19_Coronavirus[[#This Row],[Total Cases]]</f>
        <v>6.2259551848697541E-3</v>
      </c>
      <c r="I11" s="1">
        <f>COVID_19_Coronavirus[[#This Row],[Total Cases]]-COVID_19_Coronavirus[[#This Row],[Total Deaths]]</f>
        <v>33839</v>
      </c>
    </row>
    <row r="12" spans="1:9" x14ac:dyDescent="0.35">
      <c r="A12" t="s">
        <v>34</v>
      </c>
      <c r="B12" s="1">
        <v>26017767</v>
      </c>
      <c r="C12" t="s">
        <v>36</v>
      </c>
      <c r="D12" s="1">
        <v>4680816</v>
      </c>
      <c r="E12" s="1">
        <v>6384</v>
      </c>
      <c r="F12" s="1">
        <v>179908</v>
      </c>
      <c r="G12" s="1">
        <v>245</v>
      </c>
      <c r="H12" s="2">
        <f>COVID_19_Coronavirus[[#This Row],[Total Deaths]]/COVID_19_Coronavirus[[#This Row],[Total Cases]]</f>
        <v>1.3638647620414902E-3</v>
      </c>
      <c r="I12" s="1">
        <f>COVID_19_Coronavirus[[#This Row],[Total Cases]]-COVID_19_Coronavirus[[#This Row],[Total Deaths]]</f>
        <v>4674432</v>
      </c>
    </row>
    <row r="13" spans="1:9" x14ac:dyDescent="0.35">
      <c r="A13" t="s">
        <v>37</v>
      </c>
      <c r="B13" s="1">
        <v>9096360</v>
      </c>
      <c r="C13" t="s">
        <v>15</v>
      </c>
      <c r="D13" s="1">
        <v>3887355</v>
      </c>
      <c r="E13" s="1">
        <v>15985</v>
      </c>
      <c r="F13" s="1">
        <v>427353</v>
      </c>
      <c r="G13" s="1">
        <v>1757</v>
      </c>
      <c r="H13" s="2">
        <f>COVID_19_Coronavirus[[#This Row],[Total Deaths]]/COVID_19_Coronavirus[[#This Row],[Total Cases]]</f>
        <v>4.1120504816256811E-3</v>
      </c>
      <c r="I13" s="1">
        <f>COVID_19_Coronavirus[[#This Row],[Total Cases]]-COVID_19_Coronavirus[[#This Row],[Total Deaths]]</f>
        <v>3871370</v>
      </c>
    </row>
    <row r="14" spans="1:9" x14ac:dyDescent="0.35">
      <c r="A14" t="s">
        <v>39</v>
      </c>
      <c r="B14" s="1">
        <v>10299156</v>
      </c>
      <c r="C14" t="s">
        <v>12</v>
      </c>
      <c r="D14" s="1">
        <v>792061</v>
      </c>
      <c r="E14" s="1">
        <v>9697</v>
      </c>
      <c r="F14" s="1">
        <v>76905</v>
      </c>
      <c r="G14" s="1">
        <v>942</v>
      </c>
      <c r="H14" s="2">
        <f>COVID_19_Coronavirus[[#This Row],[Total Deaths]]/COVID_19_Coronavirus[[#This Row],[Total Cases]]</f>
        <v>1.2242743930076093E-2</v>
      </c>
      <c r="I14" s="1">
        <f>COVID_19_Coronavirus[[#This Row],[Total Cases]]-COVID_19_Coronavirus[[#This Row],[Total Deaths]]</f>
        <v>782364</v>
      </c>
    </row>
    <row r="15" spans="1:9" x14ac:dyDescent="0.35">
      <c r="A15" t="s">
        <v>41</v>
      </c>
      <c r="B15" s="1">
        <v>399822</v>
      </c>
      <c r="C15" t="s">
        <v>25</v>
      </c>
      <c r="D15" s="1">
        <v>33295</v>
      </c>
      <c r="E15" s="1">
        <v>788</v>
      </c>
      <c r="F15" s="1">
        <v>83275</v>
      </c>
      <c r="G15" s="1">
        <v>1971</v>
      </c>
      <c r="H15" s="2">
        <f>COVID_19_Coronavirus[[#This Row],[Total Deaths]]/COVID_19_Coronavirus[[#This Row],[Total Cases]]</f>
        <v>2.3667217299894881E-2</v>
      </c>
      <c r="I15" s="1">
        <f>COVID_19_Coronavirus[[#This Row],[Total Cases]]-COVID_19_Coronavirus[[#This Row],[Total Deaths]]</f>
        <v>32507</v>
      </c>
    </row>
    <row r="16" spans="1:9" x14ac:dyDescent="0.35">
      <c r="A16" t="s">
        <v>43</v>
      </c>
      <c r="B16" s="1">
        <v>1804995</v>
      </c>
      <c r="C16" t="s">
        <v>12</v>
      </c>
      <c r="D16" s="1">
        <v>556241</v>
      </c>
      <c r="E16" s="1">
        <v>1471</v>
      </c>
      <c r="F16" s="1">
        <v>308168</v>
      </c>
      <c r="G16" s="1">
        <v>815</v>
      </c>
      <c r="H16" s="2">
        <f>COVID_19_Coronavirus[[#This Row],[Total Deaths]]/COVID_19_Coronavirus[[#This Row],[Total Cases]]</f>
        <v>2.644537170039605E-3</v>
      </c>
      <c r="I16" s="1">
        <f>COVID_19_Coronavirus[[#This Row],[Total Cases]]-COVID_19_Coronavirus[[#This Row],[Total Deaths]]</f>
        <v>554770</v>
      </c>
    </row>
    <row r="17" spans="1:9" x14ac:dyDescent="0.35">
      <c r="A17" t="s">
        <v>45</v>
      </c>
      <c r="B17" s="1">
        <v>167561502</v>
      </c>
      <c r="C17" t="s">
        <v>12</v>
      </c>
      <c r="D17" s="1">
        <v>1951770</v>
      </c>
      <c r="E17" s="1">
        <v>29122</v>
      </c>
      <c r="F17" s="1">
        <v>11648</v>
      </c>
      <c r="G17" s="1">
        <v>174</v>
      </c>
      <c r="H17" s="2">
        <f>COVID_19_Coronavirus[[#This Row],[Total Deaths]]/COVID_19_Coronavirus[[#This Row],[Total Cases]]</f>
        <v>1.4920815464936954E-2</v>
      </c>
      <c r="I17" s="1">
        <f>COVID_19_Coronavirus[[#This Row],[Total Cases]]-COVID_19_Coronavirus[[#This Row],[Total Deaths]]</f>
        <v>1922648</v>
      </c>
    </row>
    <row r="18" spans="1:9" x14ac:dyDescent="0.35">
      <c r="A18" t="s">
        <v>47</v>
      </c>
      <c r="B18" s="1">
        <v>287991</v>
      </c>
      <c r="C18" t="s">
        <v>25</v>
      </c>
      <c r="D18" s="1">
        <v>59938</v>
      </c>
      <c r="E18" s="1">
        <v>375</v>
      </c>
      <c r="F18" s="1">
        <v>208125</v>
      </c>
      <c r="G18" s="1">
        <v>1302</v>
      </c>
      <c r="H18" s="2">
        <f>COVID_19_Coronavirus[[#This Row],[Total Deaths]]/COVID_19_Coronavirus[[#This Row],[Total Cases]]</f>
        <v>6.2564650138476428E-3</v>
      </c>
      <c r="I18" s="1">
        <f>COVID_19_Coronavirus[[#This Row],[Total Cases]]-COVID_19_Coronavirus[[#This Row],[Total Deaths]]</f>
        <v>59563</v>
      </c>
    </row>
    <row r="19" spans="1:9" x14ac:dyDescent="0.35">
      <c r="A19" t="s">
        <v>49</v>
      </c>
      <c r="B19" s="1">
        <v>9443882</v>
      </c>
      <c r="C19" t="s">
        <v>15</v>
      </c>
      <c r="D19" s="1">
        <v>965322</v>
      </c>
      <c r="E19" s="1">
        <v>6844</v>
      </c>
      <c r="F19" s="1">
        <v>102217</v>
      </c>
      <c r="G19" s="1">
        <v>725</v>
      </c>
      <c r="H19" s="2">
        <f>COVID_19_Coronavirus[[#This Row],[Total Deaths]]/COVID_19_Coronavirus[[#This Row],[Total Cases]]</f>
        <v>7.0898622428578239E-3</v>
      </c>
      <c r="I19" s="1">
        <f>COVID_19_Coronavirus[[#This Row],[Total Cases]]-COVID_19_Coronavirus[[#This Row],[Total Deaths]]</f>
        <v>958478</v>
      </c>
    </row>
    <row r="20" spans="1:9" x14ac:dyDescent="0.35">
      <c r="A20" t="s">
        <v>51</v>
      </c>
      <c r="B20" s="1">
        <v>11677924</v>
      </c>
      <c r="C20" t="s">
        <v>15</v>
      </c>
      <c r="D20" s="1">
        <v>3851048</v>
      </c>
      <c r="E20" s="1">
        <v>30826</v>
      </c>
      <c r="F20" s="1">
        <v>329772</v>
      </c>
      <c r="G20" s="1">
        <v>2640</v>
      </c>
      <c r="H20" s="2">
        <f>COVID_19_Coronavirus[[#This Row],[Total Deaths]]/COVID_19_Coronavirus[[#This Row],[Total Cases]]</f>
        <v>8.0045743392447976E-3</v>
      </c>
      <c r="I20" s="1">
        <f>COVID_19_Coronavirus[[#This Row],[Total Cases]]-COVID_19_Coronavirus[[#This Row],[Total Deaths]]</f>
        <v>3820222</v>
      </c>
    </row>
    <row r="21" spans="1:9" x14ac:dyDescent="0.35">
      <c r="A21" t="s">
        <v>53</v>
      </c>
      <c r="B21" s="1">
        <v>410260</v>
      </c>
      <c r="C21" t="s">
        <v>25</v>
      </c>
      <c r="D21" s="1">
        <v>57289</v>
      </c>
      <c r="E21" s="1">
        <v>656</v>
      </c>
      <c r="F21" s="1">
        <v>139641</v>
      </c>
      <c r="G21" s="1">
        <v>1599</v>
      </c>
      <c r="H21" s="2">
        <f>COVID_19_Coronavirus[[#This Row],[Total Deaths]]/COVID_19_Coronavirus[[#This Row],[Total Cases]]</f>
        <v>1.1450714796906911E-2</v>
      </c>
      <c r="I21" s="1">
        <f>COVID_19_Coronavirus[[#This Row],[Total Cases]]-COVID_19_Coronavirus[[#This Row],[Total Deaths]]</f>
        <v>56633</v>
      </c>
    </row>
    <row r="22" spans="1:9" x14ac:dyDescent="0.35">
      <c r="A22" t="s">
        <v>55</v>
      </c>
      <c r="B22" s="1">
        <v>12678649</v>
      </c>
      <c r="C22" t="s">
        <v>18</v>
      </c>
      <c r="D22" s="1">
        <v>26952</v>
      </c>
      <c r="E22" s="1">
        <v>163</v>
      </c>
      <c r="F22" s="1">
        <v>2126</v>
      </c>
      <c r="G22" s="1">
        <v>13</v>
      </c>
      <c r="H22" s="2">
        <f>COVID_19_Coronavirus[[#This Row],[Total Deaths]]/COVID_19_Coronavirus[[#This Row],[Total Cases]]</f>
        <v>6.0477886613238352E-3</v>
      </c>
      <c r="I22" s="1">
        <f>COVID_19_Coronavirus[[#This Row],[Total Cases]]-COVID_19_Coronavirus[[#This Row],[Total Deaths]]</f>
        <v>26789</v>
      </c>
    </row>
    <row r="23" spans="1:9" x14ac:dyDescent="0.35">
      <c r="A23" t="s">
        <v>57</v>
      </c>
      <c r="B23" s="1">
        <v>61875</v>
      </c>
      <c r="C23" t="s">
        <v>59</v>
      </c>
      <c r="D23" s="1">
        <v>12564</v>
      </c>
      <c r="E23" s="1">
        <v>128</v>
      </c>
      <c r="F23" s="1">
        <v>203055</v>
      </c>
      <c r="G23" s="1">
        <v>2069</v>
      </c>
      <c r="H23" s="2">
        <f>COVID_19_Coronavirus[[#This Row],[Total Deaths]]/COVID_19_Coronavirus[[#This Row],[Total Cases]]</f>
        <v>1.0187838268067495E-2</v>
      </c>
      <c r="I23" s="1">
        <f>COVID_19_Coronavirus[[#This Row],[Total Cases]]-COVID_19_Coronavirus[[#This Row],[Total Deaths]]</f>
        <v>12436</v>
      </c>
    </row>
    <row r="24" spans="1:9" x14ac:dyDescent="0.35">
      <c r="A24" t="s">
        <v>60</v>
      </c>
      <c r="B24" s="1">
        <v>786480</v>
      </c>
      <c r="C24" t="s">
        <v>12</v>
      </c>
      <c r="D24" s="1">
        <v>31437</v>
      </c>
      <c r="E24" s="1">
        <v>12</v>
      </c>
      <c r="F24" s="1">
        <v>39972</v>
      </c>
      <c r="G24" s="1">
        <v>15</v>
      </c>
      <c r="H24" s="2">
        <f>COVID_19_Coronavirus[[#This Row],[Total Deaths]]/COVID_19_Coronavirus[[#This Row],[Total Cases]]</f>
        <v>3.8171581257753605E-4</v>
      </c>
      <c r="I24" s="1">
        <f>COVID_19_Coronavirus[[#This Row],[Total Cases]]-COVID_19_Coronavirus[[#This Row],[Total Deaths]]</f>
        <v>31425</v>
      </c>
    </row>
    <row r="25" spans="1:9" x14ac:dyDescent="0.35">
      <c r="A25" t="s">
        <v>62</v>
      </c>
      <c r="B25" s="1">
        <v>11951714</v>
      </c>
      <c r="C25" t="s">
        <v>25</v>
      </c>
      <c r="D25" s="1">
        <v>902448</v>
      </c>
      <c r="E25" s="1">
        <v>21896</v>
      </c>
      <c r="F25" s="1">
        <v>75508</v>
      </c>
      <c r="G25" s="1">
        <v>1832</v>
      </c>
      <c r="H25" s="2">
        <f>COVID_19_Coronavirus[[#This Row],[Total Deaths]]/COVID_19_Coronavirus[[#This Row],[Total Cases]]</f>
        <v>2.4262893817704731E-2</v>
      </c>
      <c r="I25" s="1">
        <f>COVID_19_Coronavirus[[#This Row],[Total Cases]]-COVID_19_Coronavirus[[#This Row],[Total Deaths]]</f>
        <v>880552</v>
      </c>
    </row>
    <row r="26" spans="1:9" x14ac:dyDescent="0.35">
      <c r="A26" t="s">
        <v>65</v>
      </c>
      <c r="B26" s="1">
        <v>3245097</v>
      </c>
      <c r="C26" t="s">
        <v>15</v>
      </c>
      <c r="D26" s="1">
        <v>375693</v>
      </c>
      <c r="E26" s="1">
        <v>15719</v>
      </c>
      <c r="F26" s="1">
        <v>115773</v>
      </c>
      <c r="G26" s="1">
        <v>4844</v>
      </c>
      <c r="H26" s="2">
        <f>COVID_19_Coronavirus[[#This Row],[Total Deaths]]/COVID_19_Coronavirus[[#This Row],[Total Cases]]</f>
        <v>4.1840012989329052E-2</v>
      </c>
      <c r="I26" s="1">
        <f>COVID_19_Coronavirus[[#This Row],[Total Cases]]-COVID_19_Coronavirus[[#This Row],[Total Deaths]]</f>
        <v>359974</v>
      </c>
    </row>
    <row r="27" spans="1:9" x14ac:dyDescent="0.35">
      <c r="A27" t="s">
        <v>67</v>
      </c>
      <c r="B27" s="1">
        <v>2434708</v>
      </c>
      <c r="C27" t="s">
        <v>18</v>
      </c>
      <c r="D27" s="1">
        <v>305526</v>
      </c>
      <c r="E27" s="1">
        <v>2686</v>
      </c>
      <c r="F27" s="1">
        <v>125488</v>
      </c>
      <c r="G27" s="1">
        <v>1103</v>
      </c>
      <c r="H27" s="2">
        <f>COVID_19_Coronavirus[[#This Row],[Total Deaths]]/COVID_19_Coronavirus[[#This Row],[Total Cases]]</f>
        <v>8.7913958222868103E-3</v>
      </c>
      <c r="I27" s="1">
        <f>COVID_19_Coronavirus[[#This Row],[Total Cases]]-COVID_19_Coronavirus[[#This Row],[Total Deaths]]</f>
        <v>302840</v>
      </c>
    </row>
    <row r="28" spans="1:9" x14ac:dyDescent="0.35">
      <c r="A28" t="s">
        <v>69</v>
      </c>
      <c r="B28" s="1">
        <v>215204501</v>
      </c>
      <c r="C28" t="s">
        <v>25</v>
      </c>
      <c r="D28" s="1">
        <v>29999816</v>
      </c>
      <c r="E28" s="1">
        <v>660269</v>
      </c>
      <c r="F28" s="1">
        <v>139401</v>
      </c>
      <c r="G28" s="1">
        <v>3068</v>
      </c>
      <c r="H28" s="2">
        <f>COVID_19_Coronavirus[[#This Row],[Total Deaths]]/COVID_19_Coronavirus[[#This Row],[Total Cases]]</f>
        <v>2.2009101655823489E-2</v>
      </c>
      <c r="I28" s="1">
        <f>COVID_19_Coronavirus[[#This Row],[Total Cases]]-COVID_19_Coronavirus[[#This Row],[Total Deaths]]</f>
        <v>29339547</v>
      </c>
    </row>
    <row r="29" spans="1:9" x14ac:dyDescent="0.35">
      <c r="A29" t="s">
        <v>71</v>
      </c>
      <c r="B29" s="1">
        <v>30583</v>
      </c>
      <c r="C29" t="s">
        <v>25</v>
      </c>
      <c r="D29" s="1">
        <v>6155</v>
      </c>
      <c r="E29" s="1">
        <v>62</v>
      </c>
      <c r="F29" s="1">
        <v>201256</v>
      </c>
      <c r="G29" s="1">
        <v>2027</v>
      </c>
      <c r="H29" s="2">
        <f>COVID_19_Coronavirus[[#This Row],[Total Deaths]]/COVID_19_Coronavirus[[#This Row],[Total Cases]]</f>
        <v>1.007311129163282E-2</v>
      </c>
      <c r="I29" s="1">
        <f>COVID_19_Coronavirus[[#This Row],[Total Cases]]-COVID_19_Coronavirus[[#This Row],[Total Deaths]]</f>
        <v>6093</v>
      </c>
    </row>
    <row r="30" spans="1:9" x14ac:dyDescent="0.35">
      <c r="A30" t="s">
        <v>73</v>
      </c>
      <c r="B30" s="1">
        <v>444812</v>
      </c>
      <c r="C30" t="s">
        <v>12</v>
      </c>
      <c r="D30" s="1">
        <v>135974</v>
      </c>
      <c r="E30" s="1">
        <v>213</v>
      </c>
      <c r="F30" s="1">
        <v>305689</v>
      </c>
      <c r="G30" s="1">
        <v>479</v>
      </c>
      <c r="H30" s="2">
        <f>COVID_19_Coronavirus[[#This Row],[Total Deaths]]/COVID_19_Coronavirus[[#This Row],[Total Cases]]</f>
        <v>1.5664759439304574E-3</v>
      </c>
      <c r="I30" s="1">
        <f>COVID_19_Coronavirus[[#This Row],[Total Cases]]-COVID_19_Coronavirus[[#This Row],[Total Deaths]]</f>
        <v>135761</v>
      </c>
    </row>
    <row r="31" spans="1:9" x14ac:dyDescent="0.35">
      <c r="A31" t="s">
        <v>76</v>
      </c>
      <c r="B31" s="1">
        <v>6856886</v>
      </c>
      <c r="C31" t="s">
        <v>15</v>
      </c>
      <c r="D31" s="1">
        <v>1140679</v>
      </c>
      <c r="E31" s="1">
        <v>36568</v>
      </c>
      <c r="F31" s="1">
        <v>166355</v>
      </c>
      <c r="G31" s="1">
        <v>5333</v>
      </c>
      <c r="H31" s="2">
        <f>COVID_19_Coronavirus[[#This Row],[Total Deaths]]/COVID_19_Coronavirus[[#This Row],[Total Cases]]</f>
        <v>3.205809872891497E-2</v>
      </c>
      <c r="I31" s="1">
        <f>COVID_19_Coronavirus[[#This Row],[Total Cases]]-COVID_19_Coronavirus[[#This Row],[Total Deaths]]</f>
        <v>1104111</v>
      </c>
    </row>
    <row r="32" spans="1:9" x14ac:dyDescent="0.35">
      <c r="A32" t="s">
        <v>78</v>
      </c>
      <c r="B32" s="1">
        <v>21905848</v>
      </c>
      <c r="C32" t="s">
        <v>18</v>
      </c>
      <c r="D32" s="1">
        <v>20853</v>
      </c>
      <c r="E32" s="1">
        <v>382</v>
      </c>
      <c r="F32" s="1">
        <v>952</v>
      </c>
      <c r="G32" s="1">
        <v>17</v>
      </c>
      <c r="H32" s="2">
        <f>COVID_19_Coronavirus[[#This Row],[Total Deaths]]/COVID_19_Coronavirus[[#This Row],[Total Cases]]</f>
        <v>1.8318707140459408E-2</v>
      </c>
      <c r="I32" s="1">
        <f>COVID_19_Coronavirus[[#This Row],[Total Cases]]-COVID_19_Coronavirus[[#This Row],[Total Deaths]]</f>
        <v>20471</v>
      </c>
    </row>
    <row r="33" spans="1:9" x14ac:dyDescent="0.35">
      <c r="A33" t="s">
        <v>80</v>
      </c>
      <c r="B33" s="1">
        <v>12510155</v>
      </c>
      <c r="C33" t="s">
        <v>18</v>
      </c>
      <c r="D33" s="1">
        <v>38519</v>
      </c>
      <c r="E33" s="1">
        <v>38</v>
      </c>
      <c r="F33" s="1">
        <v>3079</v>
      </c>
      <c r="G33" s="1">
        <v>3</v>
      </c>
      <c r="H33" s="2">
        <f>COVID_19_Coronavirus[[#This Row],[Total Deaths]]/COVID_19_Coronavirus[[#This Row],[Total Cases]]</f>
        <v>9.8652612996183702E-4</v>
      </c>
      <c r="I33" s="1">
        <f>COVID_19_Coronavirus[[#This Row],[Total Cases]]-COVID_19_Coronavirus[[#This Row],[Total Deaths]]</f>
        <v>38481</v>
      </c>
    </row>
    <row r="34" spans="1:9" x14ac:dyDescent="0.35">
      <c r="A34" t="s">
        <v>82</v>
      </c>
      <c r="B34" s="1">
        <v>566557</v>
      </c>
      <c r="C34" t="s">
        <v>18</v>
      </c>
      <c r="D34" s="1">
        <v>55960</v>
      </c>
      <c r="E34" s="1">
        <v>401</v>
      </c>
      <c r="F34" s="1">
        <v>98772</v>
      </c>
      <c r="G34" s="1">
        <v>708</v>
      </c>
      <c r="H34" s="2">
        <f>COVID_19_Coronavirus[[#This Row],[Total Deaths]]/COVID_19_Coronavirus[[#This Row],[Total Cases]]</f>
        <v>7.1658327376697643E-3</v>
      </c>
      <c r="I34" s="1">
        <f>COVID_19_Coronavirus[[#This Row],[Total Cases]]-COVID_19_Coronavirus[[#This Row],[Total Deaths]]</f>
        <v>55559</v>
      </c>
    </row>
    <row r="35" spans="1:9" x14ac:dyDescent="0.35">
      <c r="A35" t="s">
        <v>84</v>
      </c>
      <c r="B35" s="1">
        <v>17123941</v>
      </c>
      <c r="C35" t="s">
        <v>12</v>
      </c>
      <c r="D35" s="1">
        <v>135747</v>
      </c>
      <c r="E35" s="1">
        <v>3054</v>
      </c>
      <c r="F35" s="1">
        <v>7927</v>
      </c>
      <c r="G35" s="1">
        <v>178</v>
      </c>
      <c r="H35" s="2">
        <f>COVID_19_Coronavirus[[#This Row],[Total Deaths]]/COVID_19_Coronavirus[[#This Row],[Total Cases]]</f>
        <v>2.2497734756569205E-2</v>
      </c>
      <c r="I35" s="1">
        <f>COVID_19_Coronavirus[[#This Row],[Total Cases]]-COVID_19_Coronavirus[[#This Row],[Total Deaths]]</f>
        <v>132693</v>
      </c>
    </row>
    <row r="36" spans="1:9" x14ac:dyDescent="0.35">
      <c r="A36" t="s">
        <v>86</v>
      </c>
      <c r="B36" s="1">
        <v>27701805</v>
      </c>
      <c r="C36" t="s">
        <v>18</v>
      </c>
      <c r="D36" s="1">
        <v>119544</v>
      </c>
      <c r="E36" s="1">
        <v>1927</v>
      </c>
      <c r="F36" s="1">
        <v>4315</v>
      </c>
      <c r="G36" s="1">
        <v>70</v>
      </c>
      <c r="H36" s="2">
        <f>COVID_19_Coronavirus[[#This Row],[Total Deaths]]/COVID_19_Coronavirus[[#This Row],[Total Cases]]</f>
        <v>1.6119587766847354E-2</v>
      </c>
      <c r="I36" s="1">
        <f>COVID_19_Coronavirus[[#This Row],[Total Cases]]-COVID_19_Coronavirus[[#This Row],[Total Deaths]]</f>
        <v>117617</v>
      </c>
    </row>
    <row r="37" spans="1:9" x14ac:dyDescent="0.35">
      <c r="A37" t="s">
        <v>88</v>
      </c>
      <c r="B37" s="1">
        <v>38321435</v>
      </c>
      <c r="C37" t="s">
        <v>59</v>
      </c>
      <c r="D37" s="1">
        <v>3499226</v>
      </c>
      <c r="E37" s="1">
        <v>37690</v>
      </c>
      <c r="F37" s="1">
        <v>91312</v>
      </c>
      <c r="G37" s="1">
        <v>984</v>
      </c>
      <c r="H37" s="2">
        <f>COVID_19_Coronavirus[[#This Row],[Total Deaths]]/COVID_19_Coronavirus[[#This Row],[Total Cases]]</f>
        <v>1.077095334796895E-2</v>
      </c>
      <c r="I37" s="1">
        <f>COVID_19_Coronavirus[[#This Row],[Total Cases]]-COVID_19_Coronavirus[[#This Row],[Total Deaths]]</f>
        <v>3461536</v>
      </c>
    </row>
    <row r="38" spans="1:9" x14ac:dyDescent="0.35">
      <c r="A38" t="s">
        <v>90</v>
      </c>
      <c r="B38" s="1">
        <v>4976719</v>
      </c>
      <c r="C38" t="s">
        <v>18</v>
      </c>
      <c r="D38" s="1">
        <v>14649</v>
      </c>
      <c r="E38" s="1">
        <v>113</v>
      </c>
      <c r="F38" s="1">
        <v>2944</v>
      </c>
      <c r="G38" s="1">
        <v>23</v>
      </c>
      <c r="H38" s="2">
        <f>COVID_19_Coronavirus[[#This Row],[Total Deaths]]/COVID_19_Coronavirus[[#This Row],[Total Cases]]</f>
        <v>7.7138371219878489E-3</v>
      </c>
      <c r="I38" s="1">
        <f>COVID_19_Coronavirus[[#This Row],[Total Cases]]-COVID_19_Coronavirus[[#This Row],[Total Deaths]]</f>
        <v>14536</v>
      </c>
    </row>
    <row r="39" spans="1:9" x14ac:dyDescent="0.35">
      <c r="A39" t="s">
        <v>93</v>
      </c>
      <c r="B39" s="1">
        <v>26650</v>
      </c>
      <c r="C39" t="s">
        <v>25</v>
      </c>
      <c r="D39" s="1">
        <v>8574</v>
      </c>
      <c r="E39" s="1">
        <v>33</v>
      </c>
      <c r="F39" s="1">
        <v>321726</v>
      </c>
      <c r="G39" s="1">
        <v>1238</v>
      </c>
      <c r="H39" s="2">
        <f>COVID_19_Coronavirus[[#This Row],[Total Deaths]]/COVID_19_Coronavirus[[#This Row],[Total Cases]]</f>
        <v>3.8488453463960811E-3</v>
      </c>
      <c r="I39" s="1">
        <f>COVID_19_Coronavirus[[#This Row],[Total Cases]]-COVID_19_Coronavirus[[#This Row],[Total Deaths]]</f>
        <v>8541</v>
      </c>
    </row>
    <row r="40" spans="1:9" x14ac:dyDescent="0.35">
      <c r="A40" t="s">
        <v>96</v>
      </c>
      <c r="B40" s="1">
        <v>67073</v>
      </c>
      <c r="C40" t="s">
        <v>25</v>
      </c>
      <c r="D40" s="1">
        <v>20606</v>
      </c>
      <c r="E40" s="1">
        <v>24</v>
      </c>
      <c r="F40" s="1">
        <v>307218</v>
      </c>
      <c r="G40" s="1">
        <v>358</v>
      </c>
      <c r="H40" s="2">
        <f>COVID_19_Coronavirus[[#This Row],[Total Deaths]]/COVID_19_Coronavirus[[#This Row],[Total Cases]]</f>
        <v>1.1647093079685529E-3</v>
      </c>
      <c r="I40" s="1">
        <f>COVID_19_Coronavirus[[#This Row],[Total Cases]]-COVID_19_Coronavirus[[#This Row],[Total Deaths]]</f>
        <v>20582</v>
      </c>
    </row>
    <row r="41" spans="1:9" x14ac:dyDescent="0.35">
      <c r="A41" t="s">
        <v>98</v>
      </c>
      <c r="B41" s="1">
        <v>17250246</v>
      </c>
      <c r="C41" t="s">
        <v>18</v>
      </c>
      <c r="D41" s="1">
        <v>7308</v>
      </c>
      <c r="E41" s="1">
        <v>191</v>
      </c>
      <c r="F41" s="1">
        <v>424</v>
      </c>
      <c r="G41" s="1">
        <v>11</v>
      </c>
      <c r="H41" s="2">
        <f>COVID_19_Coronavirus[[#This Row],[Total Deaths]]/COVID_19_Coronavirus[[#This Row],[Total Cases]]</f>
        <v>2.6135741652983033E-2</v>
      </c>
      <c r="I41" s="1">
        <f>COVID_19_Coronavirus[[#This Row],[Total Cases]]-COVID_19_Coronavirus[[#This Row],[Total Deaths]]</f>
        <v>7117</v>
      </c>
    </row>
    <row r="42" spans="1:9" x14ac:dyDescent="0.35">
      <c r="A42" t="s">
        <v>100</v>
      </c>
      <c r="B42" s="1">
        <v>176668</v>
      </c>
      <c r="C42" t="s">
        <v>15</v>
      </c>
      <c r="D42" s="1">
        <v>69036</v>
      </c>
      <c r="E42" s="1">
        <v>156</v>
      </c>
      <c r="F42" s="1">
        <v>390767</v>
      </c>
      <c r="G42" s="1">
        <v>883</v>
      </c>
      <c r="H42" s="2">
        <f>COVID_19_Coronavirus[[#This Row],[Total Deaths]]/COVID_19_Coronavirus[[#This Row],[Total Cases]]</f>
        <v>2.2596905962106728E-3</v>
      </c>
      <c r="I42" s="1">
        <f>COVID_19_Coronavirus[[#This Row],[Total Cases]]-COVID_19_Coronavirus[[#This Row],[Total Deaths]]</f>
        <v>68880</v>
      </c>
    </row>
    <row r="43" spans="1:9" x14ac:dyDescent="0.35">
      <c r="A43" t="s">
        <v>103</v>
      </c>
      <c r="B43" s="1">
        <v>19403451</v>
      </c>
      <c r="C43" t="s">
        <v>25</v>
      </c>
      <c r="D43" s="1">
        <v>3486653</v>
      </c>
      <c r="E43" s="1">
        <v>56750</v>
      </c>
      <c r="F43" s="1">
        <v>179692</v>
      </c>
      <c r="G43" s="1">
        <v>2925</v>
      </c>
      <c r="H43" s="2">
        <f>COVID_19_Coronavirus[[#This Row],[Total Deaths]]/COVID_19_Coronavirus[[#This Row],[Total Cases]]</f>
        <v>1.6276354429305126E-2</v>
      </c>
      <c r="I43" s="1">
        <f>COVID_19_Coronavirus[[#This Row],[Total Cases]]-COVID_19_Coronavirus[[#This Row],[Total Deaths]]</f>
        <v>3429903</v>
      </c>
    </row>
    <row r="44" spans="1:9" x14ac:dyDescent="0.35">
      <c r="A44" t="s">
        <v>105</v>
      </c>
      <c r="B44" s="1">
        <v>1439323776</v>
      </c>
      <c r="C44" t="s">
        <v>12</v>
      </c>
      <c r="D44" s="1">
        <v>154738</v>
      </c>
      <c r="E44" s="1">
        <v>4638</v>
      </c>
      <c r="F44" s="1">
        <v>108</v>
      </c>
      <c r="G44" s="1">
        <v>3</v>
      </c>
      <c r="H44" s="2">
        <f>COVID_19_Coronavirus[[#This Row],[Total Deaths]]/COVID_19_Coronavirus[[#This Row],[Total Cases]]</f>
        <v>2.9973245098165933E-2</v>
      </c>
      <c r="I44" s="1">
        <f>COVID_19_Coronavirus[[#This Row],[Total Cases]]-COVID_19_Coronavirus[[#This Row],[Total Deaths]]</f>
        <v>150100</v>
      </c>
    </row>
    <row r="45" spans="1:9" x14ac:dyDescent="0.35">
      <c r="A45" t="s">
        <v>107</v>
      </c>
      <c r="B45" s="1">
        <v>51832231</v>
      </c>
      <c r="C45" t="s">
        <v>25</v>
      </c>
      <c r="D45" s="1">
        <v>6085926</v>
      </c>
      <c r="E45" s="1">
        <v>139660</v>
      </c>
      <c r="F45" s="1">
        <v>117416</v>
      </c>
      <c r="G45" s="1">
        <v>2694</v>
      </c>
      <c r="H45" s="2">
        <f>COVID_19_Coronavirus[[#This Row],[Total Deaths]]/COVID_19_Coronavirus[[#This Row],[Total Cases]]</f>
        <v>2.2948027958276194E-2</v>
      </c>
      <c r="I45" s="1">
        <f>COVID_19_Coronavirus[[#This Row],[Total Cases]]-COVID_19_Coronavirus[[#This Row],[Total Deaths]]</f>
        <v>5946266</v>
      </c>
    </row>
    <row r="46" spans="1:9" x14ac:dyDescent="0.35">
      <c r="A46" t="s">
        <v>109</v>
      </c>
      <c r="B46" s="1">
        <v>902011</v>
      </c>
      <c r="C46" t="s">
        <v>18</v>
      </c>
      <c r="D46" s="1">
        <v>8093</v>
      </c>
      <c r="E46" s="1">
        <v>160</v>
      </c>
      <c r="F46" s="1">
        <v>8972</v>
      </c>
      <c r="G46" s="1">
        <v>177</v>
      </c>
      <c r="H46" s="2">
        <f>COVID_19_Coronavirus[[#This Row],[Total Deaths]]/COVID_19_Coronavirus[[#This Row],[Total Cases]]</f>
        <v>1.9770171753367108E-2</v>
      </c>
      <c r="I46" s="1">
        <f>COVID_19_Coronavirus[[#This Row],[Total Cases]]-COVID_19_Coronavirus[[#This Row],[Total Deaths]]</f>
        <v>7933</v>
      </c>
    </row>
    <row r="47" spans="1:9" x14ac:dyDescent="0.35">
      <c r="A47" t="s">
        <v>111</v>
      </c>
      <c r="B47" s="1">
        <v>5755689</v>
      </c>
      <c r="C47" t="s">
        <v>18</v>
      </c>
      <c r="D47" s="1">
        <v>24071</v>
      </c>
      <c r="E47" s="1">
        <v>385</v>
      </c>
      <c r="F47" s="1">
        <v>4182</v>
      </c>
      <c r="G47" s="1">
        <v>67</v>
      </c>
      <c r="H47" s="2">
        <f>COVID_19_Coronavirus[[#This Row],[Total Deaths]]/COVID_19_Coronavirus[[#This Row],[Total Cases]]</f>
        <v>1.599435004777533E-2</v>
      </c>
      <c r="I47" s="1">
        <f>COVID_19_Coronavirus[[#This Row],[Total Cases]]-COVID_19_Coronavirus[[#This Row],[Total Deaths]]</f>
        <v>23686</v>
      </c>
    </row>
    <row r="48" spans="1:9" x14ac:dyDescent="0.35">
      <c r="A48" t="s">
        <v>113</v>
      </c>
      <c r="B48" s="1">
        <v>17592</v>
      </c>
      <c r="C48" t="s">
        <v>36</v>
      </c>
      <c r="D48" s="1">
        <v>2118</v>
      </c>
      <c r="E48" s="1">
        <v>0</v>
      </c>
      <c r="F48" s="1">
        <v>120396</v>
      </c>
      <c r="G48" s="1">
        <v>0</v>
      </c>
      <c r="H48" s="2">
        <f>COVID_19_Coronavirus[[#This Row],[Total Deaths]]/COVID_19_Coronavirus[[#This Row],[Total Cases]]</f>
        <v>0</v>
      </c>
      <c r="I48" s="1">
        <f>COVID_19_Coronavirus[[#This Row],[Total Cases]]-COVID_19_Coronavirus[[#This Row],[Total Deaths]]</f>
        <v>2118</v>
      </c>
    </row>
    <row r="49" spans="1:9" x14ac:dyDescent="0.35">
      <c r="A49" t="s">
        <v>115</v>
      </c>
      <c r="B49" s="1">
        <v>5175547</v>
      </c>
      <c r="C49" t="s">
        <v>25</v>
      </c>
      <c r="D49" s="1">
        <v>839368</v>
      </c>
      <c r="E49" s="1">
        <v>8308</v>
      </c>
      <c r="F49" s="1">
        <v>162180</v>
      </c>
      <c r="G49" s="1">
        <v>1605</v>
      </c>
      <c r="H49" s="2">
        <f>COVID_19_Coronavirus[[#This Row],[Total Deaths]]/COVID_19_Coronavirus[[#This Row],[Total Cases]]</f>
        <v>9.8979231993595179E-3</v>
      </c>
      <c r="I49" s="1">
        <f>COVID_19_Coronavirus[[#This Row],[Total Cases]]-COVID_19_Coronavirus[[#This Row],[Total Deaths]]</f>
        <v>831060</v>
      </c>
    </row>
    <row r="50" spans="1:9" x14ac:dyDescent="0.35">
      <c r="A50" t="s">
        <v>117</v>
      </c>
      <c r="B50" s="1">
        <v>4060951</v>
      </c>
      <c r="C50" t="s">
        <v>15</v>
      </c>
      <c r="D50" s="1">
        <v>1102730</v>
      </c>
      <c r="E50" s="1">
        <v>15601</v>
      </c>
      <c r="F50" s="1">
        <v>271545</v>
      </c>
      <c r="G50" s="1">
        <v>3842</v>
      </c>
      <c r="H50" s="2">
        <f>COVID_19_Coronavirus[[#This Row],[Total Deaths]]/COVID_19_Coronavirus[[#This Row],[Total Cases]]</f>
        <v>1.4147615463440734E-2</v>
      </c>
      <c r="I50" s="1">
        <f>COVID_19_Coronavirus[[#This Row],[Total Cases]]-COVID_19_Coronavirus[[#This Row],[Total Deaths]]</f>
        <v>1087129</v>
      </c>
    </row>
    <row r="51" spans="1:9" x14ac:dyDescent="0.35">
      <c r="A51" t="s">
        <v>119</v>
      </c>
      <c r="B51" s="1">
        <v>11314513</v>
      </c>
      <c r="C51" t="s">
        <v>25</v>
      </c>
      <c r="D51" s="1">
        <v>1092547</v>
      </c>
      <c r="E51" s="1">
        <v>8514</v>
      </c>
      <c r="F51" s="1">
        <v>96562</v>
      </c>
      <c r="G51" s="1">
        <v>752</v>
      </c>
      <c r="H51" s="2">
        <f>COVID_19_Coronavirus[[#This Row],[Total Deaths]]/COVID_19_Coronavirus[[#This Row],[Total Cases]]</f>
        <v>7.7927997605595004E-3</v>
      </c>
      <c r="I51" s="1">
        <f>COVID_19_Coronavirus[[#This Row],[Total Cases]]-COVID_19_Coronavirus[[#This Row],[Total Deaths]]</f>
        <v>1084033</v>
      </c>
    </row>
    <row r="52" spans="1:9" x14ac:dyDescent="0.35">
      <c r="A52" t="s">
        <v>121</v>
      </c>
      <c r="B52" s="1">
        <v>165268</v>
      </c>
      <c r="C52" t="s">
        <v>25</v>
      </c>
      <c r="D52" s="1">
        <v>40671</v>
      </c>
      <c r="E52" s="1">
        <v>267</v>
      </c>
      <c r="F52" s="1">
        <v>246091</v>
      </c>
      <c r="G52" s="1">
        <v>1616</v>
      </c>
      <c r="H52" s="2">
        <f>COVID_19_Coronavirus[[#This Row],[Total Deaths]]/COVID_19_Coronavirus[[#This Row],[Total Cases]]</f>
        <v>6.5648742347126946E-3</v>
      </c>
      <c r="I52" s="1">
        <f>COVID_19_Coronavirus[[#This Row],[Total Cases]]-COVID_19_Coronavirus[[#This Row],[Total Deaths]]</f>
        <v>40404</v>
      </c>
    </row>
    <row r="53" spans="1:9" x14ac:dyDescent="0.35">
      <c r="A53" t="s">
        <v>123</v>
      </c>
      <c r="B53" s="1">
        <v>1222745</v>
      </c>
      <c r="C53" t="s">
        <v>12</v>
      </c>
      <c r="D53" s="1">
        <v>439964</v>
      </c>
      <c r="E53" s="1">
        <v>947</v>
      </c>
      <c r="F53" s="1">
        <v>359817</v>
      </c>
      <c r="G53" s="1">
        <v>774</v>
      </c>
      <c r="H53" s="2">
        <f>COVID_19_Coronavirus[[#This Row],[Total Deaths]]/COVID_19_Coronavirus[[#This Row],[Total Cases]]</f>
        <v>2.1524488367230046E-3</v>
      </c>
      <c r="I53" s="1">
        <f>COVID_19_Coronavirus[[#This Row],[Total Cases]]-COVID_19_Coronavirus[[#This Row],[Total Deaths]]</f>
        <v>439017</v>
      </c>
    </row>
    <row r="54" spans="1:9" x14ac:dyDescent="0.35">
      <c r="A54" t="s">
        <v>125</v>
      </c>
      <c r="B54" s="1">
        <v>10743762</v>
      </c>
      <c r="C54" t="s">
        <v>15</v>
      </c>
      <c r="D54" s="1">
        <v>3830631</v>
      </c>
      <c r="E54" s="1">
        <v>39720</v>
      </c>
      <c r="F54" s="1">
        <v>356545</v>
      </c>
      <c r="G54" s="1">
        <v>3697</v>
      </c>
      <c r="H54" s="2">
        <f>COVID_19_Coronavirus[[#This Row],[Total Deaths]]/COVID_19_Coronavirus[[#This Row],[Total Cases]]</f>
        <v>1.0369048859052203E-2</v>
      </c>
      <c r="I54" s="1">
        <f>COVID_19_Coronavirus[[#This Row],[Total Cases]]-COVID_19_Coronavirus[[#This Row],[Total Deaths]]</f>
        <v>3790911</v>
      </c>
    </row>
    <row r="55" spans="1:9" x14ac:dyDescent="0.35">
      <c r="A55" t="s">
        <v>128</v>
      </c>
      <c r="B55" s="1">
        <v>5827911</v>
      </c>
      <c r="C55" t="s">
        <v>15</v>
      </c>
      <c r="D55" s="1">
        <v>2919428</v>
      </c>
      <c r="E55" s="1">
        <v>5762</v>
      </c>
      <c r="F55" s="1">
        <v>500939</v>
      </c>
      <c r="G55" s="1">
        <v>989</v>
      </c>
      <c r="H55" s="2">
        <f>COVID_19_Coronavirus[[#This Row],[Total Deaths]]/COVID_19_Coronavirus[[#This Row],[Total Cases]]</f>
        <v>1.9736742951016431E-3</v>
      </c>
      <c r="I55" s="1">
        <f>COVID_19_Coronavirus[[#This Row],[Total Cases]]-COVID_19_Coronavirus[[#This Row],[Total Deaths]]</f>
        <v>2913666</v>
      </c>
    </row>
    <row r="56" spans="1:9" x14ac:dyDescent="0.35">
      <c r="A56" t="s">
        <v>130</v>
      </c>
      <c r="B56" s="1">
        <v>1013146</v>
      </c>
      <c r="C56" t="s">
        <v>18</v>
      </c>
      <c r="D56" s="1">
        <v>15590</v>
      </c>
      <c r="E56" s="1">
        <v>189</v>
      </c>
      <c r="F56" s="1">
        <v>15388</v>
      </c>
      <c r="G56" s="1">
        <v>187</v>
      </c>
      <c r="H56" s="2">
        <f>COVID_19_Coronavirus[[#This Row],[Total Deaths]]/COVID_19_Coronavirus[[#This Row],[Total Cases]]</f>
        <v>1.2123155869146888E-2</v>
      </c>
      <c r="I56" s="1">
        <f>COVID_19_Coronavirus[[#This Row],[Total Cases]]-COVID_19_Coronavirus[[#This Row],[Total Deaths]]</f>
        <v>15401</v>
      </c>
    </row>
    <row r="57" spans="1:9" x14ac:dyDescent="0.35">
      <c r="A57" t="s">
        <v>132</v>
      </c>
      <c r="B57" s="1">
        <v>72299</v>
      </c>
      <c r="C57" t="s">
        <v>25</v>
      </c>
      <c r="D57" s="1">
        <v>11891</v>
      </c>
      <c r="E57" s="1">
        <v>63</v>
      </c>
      <c r="F57" s="1">
        <v>164470</v>
      </c>
      <c r="G57" s="1">
        <v>871</v>
      </c>
      <c r="H57" s="2">
        <f>COVID_19_Coronavirus[[#This Row],[Total Deaths]]/COVID_19_Coronavirus[[#This Row],[Total Cases]]</f>
        <v>5.2981246320746786E-3</v>
      </c>
      <c r="I57" s="1">
        <f>COVID_19_Coronavirus[[#This Row],[Total Cases]]-COVID_19_Coronavirus[[#This Row],[Total Deaths]]</f>
        <v>11828</v>
      </c>
    </row>
    <row r="58" spans="1:9" x14ac:dyDescent="0.35">
      <c r="A58" t="s">
        <v>134</v>
      </c>
      <c r="B58" s="1">
        <v>11038333</v>
      </c>
      <c r="C58" t="s">
        <v>25</v>
      </c>
      <c r="D58" s="1">
        <v>578130</v>
      </c>
      <c r="E58" s="1">
        <v>4375</v>
      </c>
      <c r="F58" s="1">
        <v>52375</v>
      </c>
      <c r="G58" s="1">
        <v>396</v>
      </c>
      <c r="H58" s="2">
        <f>COVID_19_Coronavirus[[#This Row],[Total Deaths]]/COVID_19_Coronavirus[[#This Row],[Total Cases]]</f>
        <v>7.5675021189005936E-3</v>
      </c>
      <c r="I58" s="1">
        <f>COVID_19_Coronavirus[[#This Row],[Total Cases]]-COVID_19_Coronavirus[[#This Row],[Total Deaths]]</f>
        <v>573755</v>
      </c>
    </row>
    <row r="59" spans="1:9" x14ac:dyDescent="0.35">
      <c r="A59" t="s">
        <v>136</v>
      </c>
      <c r="B59" s="1">
        <v>94323344</v>
      </c>
      <c r="C59" t="s">
        <v>18</v>
      </c>
      <c r="D59" s="1">
        <v>86748</v>
      </c>
      <c r="E59" s="1">
        <v>1337</v>
      </c>
      <c r="F59" s="1">
        <v>920</v>
      </c>
      <c r="G59" s="1">
        <v>14</v>
      </c>
      <c r="H59" s="2">
        <f>COVID_19_Coronavirus[[#This Row],[Total Deaths]]/COVID_19_Coronavirus[[#This Row],[Total Cases]]</f>
        <v>1.5412459076866326E-2</v>
      </c>
      <c r="I59" s="1">
        <f>COVID_19_Coronavirus[[#This Row],[Total Cases]]-COVID_19_Coronavirus[[#This Row],[Total Deaths]]</f>
        <v>85411</v>
      </c>
    </row>
    <row r="60" spans="1:9" x14ac:dyDescent="0.35">
      <c r="A60" t="s">
        <v>138</v>
      </c>
      <c r="B60" s="1">
        <v>18111933</v>
      </c>
      <c r="C60" t="s">
        <v>25</v>
      </c>
      <c r="D60" s="1">
        <v>859890</v>
      </c>
      <c r="E60" s="1">
        <v>35421</v>
      </c>
      <c r="F60" s="1">
        <v>47476</v>
      </c>
      <c r="G60" s="1">
        <v>1956</v>
      </c>
      <c r="H60" s="2">
        <f>COVID_19_Coronavirus[[#This Row],[Total Deaths]]/COVID_19_Coronavirus[[#This Row],[Total Cases]]</f>
        <v>4.1192478107664937E-2</v>
      </c>
      <c r="I60" s="1">
        <f>COVID_19_Coronavirus[[#This Row],[Total Cases]]-COVID_19_Coronavirus[[#This Row],[Total Deaths]]</f>
        <v>824469</v>
      </c>
    </row>
    <row r="61" spans="1:9" x14ac:dyDescent="0.35">
      <c r="A61" t="s">
        <v>140</v>
      </c>
      <c r="B61" s="1">
        <v>105711844</v>
      </c>
      <c r="C61" t="s">
        <v>18</v>
      </c>
      <c r="D61" s="1">
        <v>505264</v>
      </c>
      <c r="E61" s="1">
        <v>24417</v>
      </c>
      <c r="F61" s="1">
        <v>4780</v>
      </c>
      <c r="G61" s="1">
        <v>231</v>
      </c>
      <c r="H61" s="2">
        <f>COVID_19_Coronavirus[[#This Row],[Total Deaths]]/COVID_19_Coronavirus[[#This Row],[Total Cases]]</f>
        <v>4.8325231957946739E-2</v>
      </c>
      <c r="I61" s="1">
        <f>COVID_19_Coronavirus[[#This Row],[Total Cases]]-COVID_19_Coronavirus[[#This Row],[Total Deaths]]</f>
        <v>480847</v>
      </c>
    </row>
    <row r="62" spans="1:9" x14ac:dyDescent="0.35">
      <c r="A62" t="s">
        <v>142</v>
      </c>
      <c r="B62" s="1">
        <v>6543499</v>
      </c>
      <c r="C62" t="s">
        <v>25</v>
      </c>
      <c r="D62" s="1">
        <v>161570</v>
      </c>
      <c r="E62" s="1">
        <v>4120</v>
      </c>
      <c r="F62" s="1">
        <v>24692</v>
      </c>
      <c r="G62" s="1">
        <v>630</v>
      </c>
      <c r="H62" s="2">
        <f>COVID_19_Coronavirus[[#This Row],[Total Deaths]]/COVID_19_Coronavirus[[#This Row],[Total Cases]]</f>
        <v>2.5499783375626663E-2</v>
      </c>
      <c r="I62" s="1">
        <f>COVID_19_Coronavirus[[#This Row],[Total Cases]]-COVID_19_Coronavirus[[#This Row],[Total Deaths]]</f>
        <v>157450</v>
      </c>
    </row>
    <row r="63" spans="1:9" x14ac:dyDescent="0.35">
      <c r="A63" t="s">
        <v>144</v>
      </c>
      <c r="B63" s="1">
        <v>1483588</v>
      </c>
      <c r="C63" t="s">
        <v>18</v>
      </c>
      <c r="D63" s="1">
        <v>15903</v>
      </c>
      <c r="E63" s="1">
        <v>183</v>
      </c>
      <c r="F63" s="1">
        <v>10719</v>
      </c>
      <c r="G63" s="1">
        <v>123</v>
      </c>
      <c r="H63" s="2">
        <f>COVID_19_Coronavirus[[#This Row],[Total Deaths]]/COVID_19_Coronavirus[[#This Row],[Total Cases]]</f>
        <v>1.1507262780607432E-2</v>
      </c>
      <c r="I63" s="1">
        <f>COVID_19_Coronavirus[[#This Row],[Total Cases]]-COVID_19_Coronavirus[[#This Row],[Total Deaths]]</f>
        <v>15720</v>
      </c>
    </row>
    <row r="64" spans="1:9" x14ac:dyDescent="0.35">
      <c r="A64" t="s">
        <v>146</v>
      </c>
      <c r="B64" s="1">
        <v>3632329</v>
      </c>
      <c r="C64" t="s">
        <v>18</v>
      </c>
      <c r="D64" s="1">
        <v>9728</v>
      </c>
      <c r="E64" s="1">
        <v>103</v>
      </c>
      <c r="F64" s="1">
        <v>2678</v>
      </c>
      <c r="G64" s="1">
        <v>28</v>
      </c>
      <c r="H64" s="2">
        <f>COVID_19_Coronavirus[[#This Row],[Total Deaths]]/COVID_19_Coronavirus[[#This Row],[Total Cases]]</f>
        <v>1.0587993421052632E-2</v>
      </c>
      <c r="I64" s="1">
        <f>COVID_19_Coronavirus[[#This Row],[Total Cases]]-COVID_19_Coronavirus[[#This Row],[Total Deaths]]</f>
        <v>9625</v>
      </c>
    </row>
    <row r="65" spans="1:9" x14ac:dyDescent="0.35">
      <c r="A65" t="s">
        <v>148</v>
      </c>
      <c r="B65" s="1">
        <v>1328097</v>
      </c>
      <c r="C65" t="s">
        <v>15</v>
      </c>
      <c r="D65" s="1">
        <v>558706</v>
      </c>
      <c r="E65" s="1">
        <v>2468</v>
      </c>
      <c r="F65" s="1">
        <v>420682</v>
      </c>
      <c r="G65" s="1">
        <v>1858</v>
      </c>
      <c r="H65" s="2">
        <f>COVID_19_Coronavirus[[#This Row],[Total Deaths]]/COVID_19_Coronavirus[[#This Row],[Total Cases]]</f>
        <v>4.417350091103371E-3</v>
      </c>
      <c r="I65" s="1">
        <f>COVID_19_Coronavirus[[#This Row],[Total Cases]]-COVID_19_Coronavirus[[#This Row],[Total Deaths]]</f>
        <v>556238</v>
      </c>
    </row>
    <row r="66" spans="1:9" x14ac:dyDescent="0.35">
      <c r="A66" t="s">
        <v>150</v>
      </c>
      <c r="B66" s="1">
        <v>1181191</v>
      </c>
      <c r="C66" t="s">
        <v>18</v>
      </c>
      <c r="D66" s="1">
        <v>69851</v>
      </c>
      <c r="E66" s="1">
        <v>1394</v>
      </c>
      <c r="F66" s="1">
        <v>59136</v>
      </c>
      <c r="G66" s="1">
        <v>1180</v>
      </c>
      <c r="H66" s="2">
        <f>COVID_19_Coronavirus[[#This Row],[Total Deaths]]/COVID_19_Coronavirus[[#This Row],[Total Cases]]</f>
        <v>1.9956765114314757E-2</v>
      </c>
      <c r="I66" s="1">
        <f>COVID_19_Coronavirus[[#This Row],[Total Cases]]-COVID_19_Coronavirus[[#This Row],[Total Deaths]]</f>
        <v>68457</v>
      </c>
    </row>
    <row r="67" spans="1:9" x14ac:dyDescent="0.35">
      <c r="A67" t="s">
        <v>152</v>
      </c>
      <c r="B67" s="1">
        <v>119945147</v>
      </c>
      <c r="C67" t="s">
        <v>18</v>
      </c>
      <c r="D67" s="1">
        <v>469819</v>
      </c>
      <c r="E67" s="1">
        <v>7504</v>
      </c>
      <c r="F67" s="1">
        <v>3917</v>
      </c>
      <c r="G67" s="1">
        <v>63</v>
      </c>
      <c r="H67" s="2">
        <f>COVID_19_Coronavirus[[#This Row],[Total Deaths]]/COVID_19_Coronavirus[[#This Row],[Total Cases]]</f>
        <v>1.5972108407705948E-2</v>
      </c>
      <c r="I67" s="1">
        <f>COVID_19_Coronavirus[[#This Row],[Total Cases]]-COVID_19_Coronavirus[[#This Row],[Total Deaths]]</f>
        <v>462315</v>
      </c>
    </row>
    <row r="68" spans="1:9" x14ac:dyDescent="0.35">
      <c r="A68" t="s">
        <v>154</v>
      </c>
      <c r="B68" s="1">
        <v>49188</v>
      </c>
      <c r="C68" t="s">
        <v>15</v>
      </c>
      <c r="D68" s="1">
        <v>34237</v>
      </c>
      <c r="E68" s="1">
        <v>28</v>
      </c>
      <c r="F68" s="1">
        <v>696044</v>
      </c>
      <c r="G68" s="1">
        <v>569</v>
      </c>
      <c r="H68" s="2">
        <f>COVID_19_Coronavirus[[#This Row],[Total Deaths]]/COVID_19_Coronavirus[[#This Row],[Total Cases]]</f>
        <v>8.1782866489470455E-4</v>
      </c>
      <c r="I68" s="1">
        <f>COVID_19_Coronavirus[[#This Row],[Total Cases]]-COVID_19_Coronavirus[[#This Row],[Total Deaths]]</f>
        <v>34209</v>
      </c>
    </row>
    <row r="69" spans="1:9" x14ac:dyDescent="0.35">
      <c r="A69" t="s">
        <v>156</v>
      </c>
      <c r="B69" s="1">
        <v>3657</v>
      </c>
      <c r="C69" t="s">
        <v>25</v>
      </c>
      <c r="D69" s="1">
        <v>123</v>
      </c>
      <c r="E69" s="1">
        <v>0</v>
      </c>
      <c r="F69" s="1">
        <v>33634</v>
      </c>
      <c r="G69" s="1">
        <v>0</v>
      </c>
      <c r="H69" s="2">
        <f>COVID_19_Coronavirus[[#This Row],[Total Deaths]]/COVID_19_Coronavirus[[#This Row],[Total Cases]]</f>
        <v>0</v>
      </c>
      <c r="I69" s="1">
        <f>COVID_19_Coronavirus[[#This Row],[Total Cases]]-COVID_19_Coronavirus[[#This Row],[Total Deaths]]</f>
        <v>123</v>
      </c>
    </row>
    <row r="70" spans="1:9" x14ac:dyDescent="0.35">
      <c r="A70" t="s">
        <v>159</v>
      </c>
      <c r="B70" s="1">
        <v>907817</v>
      </c>
      <c r="C70" t="s">
        <v>36</v>
      </c>
      <c r="D70" s="1">
        <v>64422</v>
      </c>
      <c r="E70" s="1">
        <v>834</v>
      </c>
      <c r="F70" s="1">
        <v>70964</v>
      </c>
      <c r="G70" s="1">
        <v>919</v>
      </c>
      <c r="H70" s="2">
        <f>COVID_19_Coronavirus[[#This Row],[Total Deaths]]/COVID_19_Coronavirus[[#This Row],[Total Cases]]</f>
        <v>1.2945888050665922E-2</v>
      </c>
      <c r="I70" s="1">
        <f>COVID_19_Coronavirus[[#This Row],[Total Cases]]-COVID_19_Coronavirus[[#This Row],[Total Deaths]]</f>
        <v>63588</v>
      </c>
    </row>
    <row r="71" spans="1:9" x14ac:dyDescent="0.35">
      <c r="A71" t="s">
        <v>161</v>
      </c>
      <c r="B71" s="1">
        <v>5555788</v>
      </c>
      <c r="C71" t="s">
        <v>15</v>
      </c>
      <c r="D71" s="1">
        <v>889626</v>
      </c>
      <c r="E71" s="1">
        <v>3178</v>
      </c>
      <c r="F71" s="1">
        <v>160126</v>
      </c>
      <c r="G71" s="1">
        <v>572</v>
      </c>
      <c r="H71" s="2">
        <f>COVID_19_Coronavirus[[#This Row],[Total Deaths]]/COVID_19_Coronavirus[[#This Row],[Total Cases]]</f>
        <v>3.5722876804409943E-3</v>
      </c>
      <c r="I71" s="1">
        <f>COVID_19_Coronavirus[[#This Row],[Total Cases]]-COVID_19_Coronavirus[[#This Row],[Total Deaths]]</f>
        <v>886448</v>
      </c>
    </row>
    <row r="72" spans="1:9" x14ac:dyDescent="0.35">
      <c r="A72" t="s">
        <v>163</v>
      </c>
      <c r="B72" s="1">
        <v>65526369</v>
      </c>
      <c r="C72" t="s">
        <v>15</v>
      </c>
      <c r="D72" s="1">
        <v>25997852</v>
      </c>
      <c r="E72" s="1">
        <v>142506</v>
      </c>
      <c r="F72" s="1">
        <v>396754</v>
      </c>
      <c r="G72" s="1">
        <v>2175</v>
      </c>
      <c r="H72" s="2">
        <f>COVID_19_Coronavirus[[#This Row],[Total Deaths]]/COVID_19_Coronavirus[[#This Row],[Total Cases]]</f>
        <v>5.4814528523356469E-3</v>
      </c>
      <c r="I72" s="1">
        <f>COVID_19_Coronavirus[[#This Row],[Total Cases]]-COVID_19_Coronavirus[[#This Row],[Total Deaths]]</f>
        <v>25855346</v>
      </c>
    </row>
    <row r="73" spans="1:9" x14ac:dyDescent="0.35">
      <c r="A73" t="s">
        <v>165</v>
      </c>
      <c r="B73" s="1">
        <v>312224</v>
      </c>
      <c r="C73" t="s">
        <v>25</v>
      </c>
      <c r="D73" s="1">
        <v>79075</v>
      </c>
      <c r="E73" s="1">
        <v>394</v>
      </c>
      <c r="F73" s="1">
        <v>253264</v>
      </c>
      <c r="G73" s="1">
        <v>1262</v>
      </c>
      <c r="H73" s="2">
        <f>COVID_19_Coronavirus[[#This Row],[Total Deaths]]/COVID_19_Coronavirus[[#This Row],[Total Cases]]</f>
        <v>4.9826114448308567E-3</v>
      </c>
      <c r="I73" s="1">
        <f>COVID_19_Coronavirus[[#This Row],[Total Cases]]-COVID_19_Coronavirus[[#This Row],[Total Deaths]]</f>
        <v>78681</v>
      </c>
    </row>
    <row r="74" spans="1:9" x14ac:dyDescent="0.35">
      <c r="A74" t="s">
        <v>167</v>
      </c>
      <c r="B74" s="1">
        <v>283751</v>
      </c>
      <c r="C74" t="s">
        <v>36</v>
      </c>
      <c r="D74" s="1">
        <v>72318</v>
      </c>
      <c r="E74" s="1">
        <v>646</v>
      </c>
      <c r="F74" s="1">
        <v>254864</v>
      </c>
      <c r="G74" s="1">
        <v>2277</v>
      </c>
      <c r="H74" s="2">
        <f>COVID_19_Coronavirus[[#This Row],[Total Deaths]]/COVID_19_Coronavirus[[#This Row],[Total Cases]]</f>
        <v>8.9327691584391161E-3</v>
      </c>
      <c r="I74" s="1">
        <f>COVID_19_Coronavirus[[#This Row],[Total Cases]]-COVID_19_Coronavirus[[#This Row],[Total Deaths]]</f>
        <v>71672</v>
      </c>
    </row>
    <row r="75" spans="1:9" x14ac:dyDescent="0.35">
      <c r="A75" t="s">
        <v>169</v>
      </c>
      <c r="B75" s="1">
        <v>2317612</v>
      </c>
      <c r="C75" t="s">
        <v>18</v>
      </c>
      <c r="D75" s="1">
        <v>47586</v>
      </c>
      <c r="E75" s="1">
        <v>303</v>
      </c>
      <c r="F75" s="1">
        <v>20532</v>
      </c>
      <c r="G75" s="1">
        <v>131</v>
      </c>
      <c r="H75" s="2">
        <f>COVID_19_Coronavirus[[#This Row],[Total Deaths]]/COVID_19_Coronavirus[[#This Row],[Total Cases]]</f>
        <v>6.3674189887782118E-3</v>
      </c>
      <c r="I75" s="1">
        <f>COVID_19_Coronavirus[[#This Row],[Total Cases]]-COVID_19_Coronavirus[[#This Row],[Total Deaths]]</f>
        <v>47283</v>
      </c>
    </row>
    <row r="76" spans="1:9" x14ac:dyDescent="0.35">
      <c r="A76" t="s">
        <v>171</v>
      </c>
      <c r="B76" s="1">
        <v>2535418</v>
      </c>
      <c r="C76" t="s">
        <v>18</v>
      </c>
      <c r="D76" s="1">
        <v>11988</v>
      </c>
      <c r="E76" s="1">
        <v>365</v>
      </c>
      <c r="F76" s="1">
        <v>4728</v>
      </c>
      <c r="G76" s="1">
        <v>144</v>
      </c>
      <c r="H76" s="2">
        <f>COVID_19_Coronavirus[[#This Row],[Total Deaths]]/COVID_19_Coronavirus[[#This Row],[Total Cases]]</f>
        <v>3.0447113780447115E-2</v>
      </c>
      <c r="I76" s="1">
        <f>COVID_19_Coronavirus[[#This Row],[Total Cases]]-COVID_19_Coronavirus[[#This Row],[Total Deaths]]</f>
        <v>11623</v>
      </c>
    </row>
    <row r="77" spans="1:9" x14ac:dyDescent="0.35">
      <c r="A77" t="s">
        <v>173</v>
      </c>
      <c r="B77" s="1">
        <v>3975762</v>
      </c>
      <c r="C77" t="s">
        <v>12</v>
      </c>
      <c r="D77" s="1">
        <v>1649222</v>
      </c>
      <c r="E77" s="1">
        <v>16756</v>
      </c>
      <c r="F77" s="1">
        <v>414819</v>
      </c>
      <c r="G77" s="1">
        <v>4215</v>
      </c>
      <c r="H77" s="2">
        <f>COVID_19_Coronavirus[[#This Row],[Total Deaths]]/COVID_19_Coronavirus[[#This Row],[Total Cases]]</f>
        <v>1.0159942081781592E-2</v>
      </c>
      <c r="I77" s="1">
        <f>COVID_19_Coronavirus[[#This Row],[Total Cases]]-COVID_19_Coronavirus[[#This Row],[Total Deaths]]</f>
        <v>1632466</v>
      </c>
    </row>
    <row r="78" spans="1:9" x14ac:dyDescent="0.35">
      <c r="A78" t="s">
        <v>175</v>
      </c>
      <c r="B78" s="1">
        <v>84252947</v>
      </c>
      <c r="C78" t="s">
        <v>15</v>
      </c>
      <c r="D78" s="1">
        <v>21646375</v>
      </c>
      <c r="E78" s="1">
        <v>130563</v>
      </c>
      <c r="F78" s="1">
        <v>256921</v>
      </c>
      <c r="G78" s="1">
        <v>1550</v>
      </c>
      <c r="H78" s="2">
        <f>COVID_19_Coronavirus[[#This Row],[Total Deaths]]/COVID_19_Coronavirus[[#This Row],[Total Cases]]</f>
        <v>6.0316334721171559E-3</v>
      </c>
      <c r="I78" s="1">
        <f>COVID_19_Coronavirus[[#This Row],[Total Cases]]-COVID_19_Coronavirus[[#This Row],[Total Deaths]]</f>
        <v>21515812</v>
      </c>
    </row>
    <row r="79" spans="1:9" x14ac:dyDescent="0.35">
      <c r="A79" t="s">
        <v>177</v>
      </c>
      <c r="B79" s="1">
        <v>32207812</v>
      </c>
      <c r="C79" t="s">
        <v>18</v>
      </c>
      <c r="D79" s="1">
        <v>160971</v>
      </c>
      <c r="E79" s="1">
        <v>1445</v>
      </c>
      <c r="F79" s="1">
        <v>4998</v>
      </c>
      <c r="G79" s="1">
        <v>45</v>
      </c>
      <c r="H79" s="2">
        <f>COVID_19_Coronavirus[[#This Row],[Total Deaths]]/COVID_19_Coronavirus[[#This Row],[Total Cases]]</f>
        <v>8.9767722136285411E-3</v>
      </c>
      <c r="I79" s="1">
        <f>COVID_19_Coronavirus[[#This Row],[Total Cases]]-COVID_19_Coronavirus[[#This Row],[Total Deaths]]</f>
        <v>159526</v>
      </c>
    </row>
    <row r="80" spans="1:9" x14ac:dyDescent="0.35">
      <c r="A80" t="s">
        <v>179</v>
      </c>
      <c r="B80" s="1">
        <v>33673</v>
      </c>
      <c r="C80" t="s">
        <v>15</v>
      </c>
      <c r="D80" s="1">
        <v>16979</v>
      </c>
      <c r="E80" s="1">
        <v>101</v>
      </c>
      <c r="F80" s="1">
        <v>504232</v>
      </c>
      <c r="G80" s="1">
        <v>2999</v>
      </c>
      <c r="H80" s="2">
        <f>COVID_19_Coronavirus[[#This Row],[Total Deaths]]/COVID_19_Coronavirus[[#This Row],[Total Cases]]</f>
        <v>5.9485246480947048E-3</v>
      </c>
      <c r="I80" s="1">
        <f>COVID_19_Coronavirus[[#This Row],[Total Cases]]-COVID_19_Coronavirus[[#This Row],[Total Deaths]]</f>
        <v>16878</v>
      </c>
    </row>
    <row r="81" spans="1:9" x14ac:dyDescent="0.35">
      <c r="A81" t="s">
        <v>181</v>
      </c>
      <c r="B81" s="1">
        <v>10333930</v>
      </c>
      <c r="C81" t="s">
        <v>15</v>
      </c>
      <c r="D81" s="1">
        <v>3077711</v>
      </c>
      <c r="E81" s="1">
        <v>27684</v>
      </c>
      <c r="F81" s="1">
        <v>297826</v>
      </c>
      <c r="G81" s="1">
        <v>2679</v>
      </c>
      <c r="H81" s="2">
        <f>COVID_19_Coronavirus[[#This Row],[Total Deaths]]/COVID_19_Coronavirus[[#This Row],[Total Cases]]</f>
        <v>8.9949966062440566E-3</v>
      </c>
      <c r="I81" s="1">
        <f>COVID_19_Coronavirus[[#This Row],[Total Cases]]-COVID_19_Coronavirus[[#This Row],[Total Deaths]]</f>
        <v>3050027</v>
      </c>
    </row>
    <row r="82" spans="1:9" x14ac:dyDescent="0.35">
      <c r="A82" t="s">
        <v>183</v>
      </c>
      <c r="B82" s="1">
        <v>56942</v>
      </c>
      <c r="C82" t="s">
        <v>59</v>
      </c>
      <c r="D82" s="1">
        <v>11971</v>
      </c>
      <c r="E82" s="1">
        <v>21</v>
      </c>
      <c r="F82" s="1">
        <v>210231</v>
      </c>
      <c r="G82" s="1">
        <v>369</v>
      </c>
      <c r="H82" s="2">
        <f>COVID_19_Coronavirus[[#This Row],[Total Deaths]]/COVID_19_Coronavirus[[#This Row],[Total Cases]]</f>
        <v>1.7542394119121211E-3</v>
      </c>
      <c r="I82" s="1">
        <f>COVID_19_Coronavirus[[#This Row],[Total Cases]]-COVID_19_Coronavirus[[#This Row],[Total Deaths]]</f>
        <v>11950</v>
      </c>
    </row>
    <row r="83" spans="1:9" x14ac:dyDescent="0.35">
      <c r="A83" t="s">
        <v>185</v>
      </c>
      <c r="B83" s="1">
        <v>113436</v>
      </c>
      <c r="C83" t="s">
        <v>25</v>
      </c>
      <c r="D83" s="1">
        <v>14024</v>
      </c>
      <c r="E83" s="1">
        <v>218</v>
      </c>
      <c r="F83" s="1">
        <v>123629</v>
      </c>
      <c r="G83" s="1">
        <v>1922</v>
      </c>
      <c r="H83" s="2">
        <f>COVID_19_Coronavirus[[#This Row],[Total Deaths]]/COVID_19_Coronavirus[[#This Row],[Total Cases]]</f>
        <v>1.5544780376497433E-2</v>
      </c>
      <c r="I83" s="1">
        <f>COVID_19_Coronavirus[[#This Row],[Total Cases]]-COVID_19_Coronavirus[[#This Row],[Total Deaths]]</f>
        <v>13806</v>
      </c>
    </row>
    <row r="84" spans="1:9" x14ac:dyDescent="0.35">
      <c r="A84" t="s">
        <v>187</v>
      </c>
      <c r="B84" s="1">
        <v>400244</v>
      </c>
      <c r="C84" t="s">
        <v>25</v>
      </c>
      <c r="D84" s="1">
        <v>130705</v>
      </c>
      <c r="E84" s="1">
        <v>843</v>
      </c>
      <c r="F84" s="1">
        <v>326563</v>
      </c>
      <c r="G84" s="1">
        <v>2106</v>
      </c>
      <c r="H84" s="2">
        <f>COVID_19_Coronavirus[[#This Row],[Total Deaths]]/COVID_19_Coronavirus[[#This Row],[Total Cases]]</f>
        <v>6.4496384989097587E-3</v>
      </c>
      <c r="I84" s="1">
        <f>COVID_19_Coronavirus[[#This Row],[Total Cases]]-COVID_19_Coronavirus[[#This Row],[Total Deaths]]</f>
        <v>129862</v>
      </c>
    </row>
    <row r="85" spans="1:9" x14ac:dyDescent="0.35">
      <c r="A85" t="s">
        <v>189</v>
      </c>
      <c r="B85" s="1">
        <v>18495493</v>
      </c>
      <c r="C85" t="s">
        <v>25</v>
      </c>
      <c r="D85" s="1">
        <v>830745</v>
      </c>
      <c r="E85" s="1">
        <v>17325</v>
      </c>
      <c r="F85" s="1">
        <v>44916</v>
      </c>
      <c r="G85" s="1">
        <v>937</v>
      </c>
      <c r="H85" s="2">
        <f>COVID_19_Coronavirus[[#This Row],[Total Deaths]]/COVID_19_Coronavirus[[#This Row],[Total Cases]]</f>
        <v>2.0854774930935484E-2</v>
      </c>
      <c r="I85" s="1">
        <f>COVID_19_Coronavirus[[#This Row],[Total Cases]]-COVID_19_Coronavirus[[#This Row],[Total Deaths]]</f>
        <v>813420</v>
      </c>
    </row>
    <row r="86" spans="1:9" x14ac:dyDescent="0.35">
      <c r="A86" t="s">
        <v>191</v>
      </c>
      <c r="B86" s="1">
        <v>13755881</v>
      </c>
      <c r="C86" t="s">
        <v>18</v>
      </c>
      <c r="D86" s="1">
        <v>36459</v>
      </c>
      <c r="E86" s="1">
        <v>440</v>
      </c>
      <c r="F86" s="1">
        <v>2650</v>
      </c>
      <c r="G86" s="1">
        <v>32</v>
      </c>
      <c r="H86" s="2">
        <f>COVID_19_Coronavirus[[#This Row],[Total Deaths]]/COVID_19_Coronavirus[[#This Row],[Total Cases]]</f>
        <v>1.2068350750157712E-2</v>
      </c>
      <c r="I86" s="1">
        <f>COVID_19_Coronavirus[[#This Row],[Total Cases]]-COVID_19_Coronavirus[[#This Row],[Total Deaths]]</f>
        <v>36019</v>
      </c>
    </row>
    <row r="87" spans="1:9" x14ac:dyDescent="0.35">
      <c r="A87" t="s">
        <v>193</v>
      </c>
      <c r="B87" s="1">
        <v>2049374</v>
      </c>
      <c r="C87" t="s">
        <v>18</v>
      </c>
      <c r="D87" s="1">
        <v>8151</v>
      </c>
      <c r="E87" s="1">
        <v>170</v>
      </c>
      <c r="F87" s="1">
        <v>3977</v>
      </c>
      <c r="G87" s="1">
        <v>83</v>
      </c>
      <c r="H87" s="2">
        <f>COVID_19_Coronavirus[[#This Row],[Total Deaths]]/COVID_19_Coronavirus[[#This Row],[Total Cases]]</f>
        <v>2.0856336645810328E-2</v>
      </c>
      <c r="I87" s="1">
        <f>COVID_19_Coronavirus[[#This Row],[Total Cases]]-COVID_19_Coronavirus[[#This Row],[Total Deaths]]</f>
        <v>7981</v>
      </c>
    </row>
    <row r="88" spans="1:9" x14ac:dyDescent="0.35">
      <c r="A88" t="s">
        <v>195</v>
      </c>
      <c r="B88" s="1">
        <v>793196</v>
      </c>
      <c r="C88" t="s">
        <v>25</v>
      </c>
      <c r="D88" s="1">
        <v>63272</v>
      </c>
      <c r="E88" s="1">
        <v>1226</v>
      </c>
      <c r="F88" s="1">
        <v>79768</v>
      </c>
      <c r="G88" s="1">
        <v>1546</v>
      </c>
      <c r="H88" s="2">
        <f>COVID_19_Coronavirus[[#This Row],[Total Deaths]]/COVID_19_Coronavirus[[#This Row],[Total Cases]]</f>
        <v>1.9376659501833354E-2</v>
      </c>
      <c r="I88" s="1">
        <f>COVID_19_Coronavirus[[#This Row],[Total Cases]]-COVID_19_Coronavirus[[#This Row],[Total Deaths]]</f>
        <v>62046</v>
      </c>
    </row>
    <row r="89" spans="1:9" x14ac:dyDescent="0.35">
      <c r="A89" t="s">
        <v>197</v>
      </c>
      <c r="B89" s="1">
        <v>11645833</v>
      </c>
      <c r="C89" t="s">
        <v>25</v>
      </c>
      <c r="D89" s="1">
        <v>30549</v>
      </c>
      <c r="E89" s="1">
        <v>833</v>
      </c>
      <c r="F89" s="1">
        <v>2623</v>
      </c>
      <c r="G89" s="1">
        <v>72</v>
      </c>
      <c r="H89" s="2">
        <f>COVID_19_Coronavirus[[#This Row],[Total Deaths]]/COVID_19_Coronavirus[[#This Row],[Total Cases]]</f>
        <v>2.7267668336115748E-2</v>
      </c>
      <c r="I89" s="1">
        <f>COVID_19_Coronavirus[[#This Row],[Total Cases]]-COVID_19_Coronavirus[[#This Row],[Total Deaths]]</f>
        <v>29716</v>
      </c>
    </row>
    <row r="90" spans="1:9" x14ac:dyDescent="0.35">
      <c r="A90" t="s">
        <v>199</v>
      </c>
      <c r="B90" s="1">
        <v>10180299</v>
      </c>
      <c r="C90" t="s">
        <v>25</v>
      </c>
      <c r="D90" s="1">
        <v>421062</v>
      </c>
      <c r="E90" s="1">
        <v>10880</v>
      </c>
      <c r="F90" s="1">
        <v>41360</v>
      </c>
      <c r="G90" s="1">
        <v>1069</v>
      </c>
      <c r="H90" s="2">
        <f>COVID_19_Coronavirus[[#This Row],[Total Deaths]]/COVID_19_Coronavirus[[#This Row],[Total Cases]]</f>
        <v>2.5839425072792129E-2</v>
      </c>
      <c r="I90" s="1">
        <f>COVID_19_Coronavirus[[#This Row],[Total Cases]]-COVID_19_Coronavirus[[#This Row],[Total Deaths]]</f>
        <v>410182</v>
      </c>
    </row>
    <row r="91" spans="1:9" x14ac:dyDescent="0.35">
      <c r="A91" t="s">
        <v>201</v>
      </c>
      <c r="B91" s="1">
        <v>7603455</v>
      </c>
      <c r="C91" t="s">
        <v>12</v>
      </c>
      <c r="D91" s="1">
        <v>1171422</v>
      </c>
      <c r="E91" s="1">
        <v>8172</v>
      </c>
      <c r="F91" s="1">
        <v>154064</v>
      </c>
      <c r="G91" s="1">
        <v>1075</v>
      </c>
      <c r="H91" s="2">
        <f>COVID_19_Coronavirus[[#This Row],[Total Deaths]]/COVID_19_Coronavirus[[#This Row],[Total Cases]]</f>
        <v>6.9761366954009746E-3</v>
      </c>
      <c r="I91" s="1">
        <f>COVID_19_Coronavirus[[#This Row],[Total Cases]]-COVID_19_Coronavirus[[#This Row],[Total Deaths]]</f>
        <v>1163250</v>
      </c>
    </row>
    <row r="92" spans="1:9" x14ac:dyDescent="0.35">
      <c r="A92" t="s">
        <v>204</v>
      </c>
      <c r="B92" s="1">
        <v>9617409</v>
      </c>
      <c r="C92" t="s">
        <v>15</v>
      </c>
      <c r="D92" s="1">
        <v>1854198</v>
      </c>
      <c r="E92" s="1">
        <v>45510</v>
      </c>
      <c r="F92" s="1">
        <v>192796</v>
      </c>
      <c r="G92" s="1">
        <v>4732</v>
      </c>
      <c r="H92" s="2">
        <f>COVID_19_Coronavirus[[#This Row],[Total Deaths]]/COVID_19_Coronavirus[[#This Row],[Total Cases]]</f>
        <v>2.4544304329958289E-2</v>
      </c>
      <c r="I92" s="1">
        <f>COVID_19_Coronavirus[[#This Row],[Total Cases]]-COVID_19_Coronavirus[[#This Row],[Total Deaths]]</f>
        <v>1808688</v>
      </c>
    </row>
    <row r="93" spans="1:9" x14ac:dyDescent="0.35">
      <c r="A93" t="s">
        <v>206</v>
      </c>
      <c r="B93" s="1">
        <v>345120</v>
      </c>
      <c r="C93" t="s">
        <v>15</v>
      </c>
      <c r="D93" s="1">
        <v>181830</v>
      </c>
      <c r="E93" s="1">
        <v>101</v>
      </c>
      <c r="F93" s="1">
        <v>526860</v>
      </c>
      <c r="G93" s="1">
        <v>293</v>
      </c>
      <c r="H93" s="2">
        <f>COVID_19_Coronavirus[[#This Row],[Total Deaths]]/COVID_19_Coronavirus[[#This Row],[Total Cases]]</f>
        <v>5.5546389484683494E-4</v>
      </c>
      <c r="I93" s="1">
        <f>COVID_19_Coronavirus[[#This Row],[Total Cases]]-COVID_19_Coronavirus[[#This Row],[Total Deaths]]</f>
        <v>181729</v>
      </c>
    </row>
    <row r="94" spans="1:9" x14ac:dyDescent="0.35">
      <c r="A94" t="s">
        <v>208</v>
      </c>
      <c r="B94" s="1">
        <v>1403754381</v>
      </c>
      <c r="C94" t="s">
        <v>12</v>
      </c>
      <c r="D94" s="1">
        <v>43029044</v>
      </c>
      <c r="E94" s="1">
        <v>521388</v>
      </c>
      <c r="F94" s="1">
        <v>30653</v>
      </c>
      <c r="G94" s="1">
        <v>371</v>
      </c>
      <c r="H94" s="2">
        <f>COVID_19_Coronavirus[[#This Row],[Total Deaths]]/COVID_19_Coronavirus[[#This Row],[Total Cases]]</f>
        <v>1.2117117916912121E-2</v>
      </c>
      <c r="I94" s="1">
        <f>COVID_19_Coronavirus[[#This Row],[Total Cases]]-COVID_19_Coronavirus[[#This Row],[Total Deaths]]</f>
        <v>42507656</v>
      </c>
    </row>
    <row r="95" spans="1:9" x14ac:dyDescent="0.35">
      <c r="A95" t="s">
        <v>210</v>
      </c>
      <c r="B95" s="1">
        <v>278586508</v>
      </c>
      <c r="C95" t="s">
        <v>12</v>
      </c>
      <c r="D95" s="1">
        <v>6019981</v>
      </c>
      <c r="E95" s="1">
        <v>155288</v>
      </c>
      <c r="F95" s="1">
        <v>21609</v>
      </c>
      <c r="G95" s="1">
        <v>557</v>
      </c>
      <c r="H95" s="2">
        <f>COVID_19_Coronavirus[[#This Row],[Total Deaths]]/COVID_19_Coronavirus[[#This Row],[Total Cases]]</f>
        <v>2.5795430251357936E-2</v>
      </c>
      <c r="I95" s="1">
        <f>COVID_19_Coronavirus[[#This Row],[Total Cases]]-COVID_19_Coronavirus[[#This Row],[Total Deaths]]</f>
        <v>5864693</v>
      </c>
    </row>
    <row r="96" spans="1:9" x14ac:dyDescent="0.35">
      <c r="A96" t="s">
        <v>212</v>
      </c>
      <c r="B96" s="1">
        <v>85874667</v>
      </c>
      <c r="C96" t="s">
        <v>12</v>
      </c>
      <c r="D96" s="1">
        <v>7167646</v>
      </c>
      <c r="E96" s="1">
        <v>140315</v>
      </c>
      <c r="F96" s="1">
        <v>83466</v>
      </c>
      <c r="G96" s="1">
        <v>1634</v>
      </c>
      <c r="H96" s="2">
        <f>COVID_19_Coronavirus[[#This Row],[Total Deaths]]/COVID_19_Coronavirus[[#This Row],[Total Cases]]</f>
        <v>1.9576162103987837E-2</v>
      </c>
      <c r="I96" s="1">
        <f>COVID_19_Coronavirus[[#This Row],[Total Cases]]-COVID_19_Coronavirus[[#This Row],[Total Deaths]]</f>
        <v>7027331</v>
      </c>
    </row>
    <row r="97" spans="1:9" x14ac:dyDescent="0.35">
      <c r="A97" t="s">
        <v>215</v>
      </c>
      <c r="B97" s="1">
        <v>41801625</v>
      </c>
      <c r="C97" t="s">
        <v>12</v>
      </c>
      <c r="D97" s="1">
        <v>2320260</v>
      </c>
      <c r="E97" s="1">
        <v>25173</v>
      </c>
      <c r="F97" s="1">
        <v>55506</v>
      </c>
      <c r="G97" s="1">
        <v>602</v>
      </c>
      <c r="H97" s="2">
        <f>COVID_19_Coronavirus[[#This Row],[Total Deaths]]/COVID_19_Coronavirus[[#This Row],[Total Cases]]</f>
        <v>1.0849215174161516E-2</v>
      </c>
      <c r="I97" s="1">
        <f>COVID_19_Coronavirus[[#This Row],[Total Cases]]-COVID_19_Coronavirus[[#This Row],[Total Deaths]]</f>
        <v>2295087</v>
      </c>
    </row>
    <row r="98" spans="1:9" x14ac:dyDescent="0.35">
      <c r="A98" t="s">
        <v>217</v>
      </c>
      <c r="B98" s="1">
        <v>5034333</v>
      </c>
      <c r="C98" t="s">
        <v>15</v>
      </c>
      <c r="D98" s="1">
        <v>1471210</v>
      </c>
      <c r="E98" s="1">
        <v>6786</v>
      </c>
      <c r="F98" s="1">
        <v>292235</v>
      </c>
      <c r="G98" s="1">
        <v>1348</v>
      </c>
      <c r="H98" s="2">
        <f>COVID_19_Coronavirus[[#This Row],[Total Deaths]]/COVID_19_Coronavirus[[#This Row],[Total Cases]]</f>
        <v>4.6125298223910934E-3</v>
      </c>
      <c r="I98" s="1">
        <f>COVID_19_Coronavirus[[#This Row],[Total Cases]]-COVID_19_Coronavirus[[#This Row],[Total Deaths]]</f>
        <v>1464424</v>
      </c>
    </row>
    <row r="99" spans="1:9" x14ac:dyDescent="0.35">
      <c r="A99" t="s">
        <v>219</v>
      </c>
      <c r="B99" s="1">
        <v>85821</v>
      </c>
      <c r="C99" t="s">
        <v>15</v>
      </c>
      <c r="D99" s="1">
        <v>28416</v>
      </c>
      <c r="E99" s="1">
        <v>84</v>
      </c>
      <c r="F99" s="1">
        <v>331108</v>
      </c>
      <c r="G99" s="1">
        <v>979</v>
      </c>
      <c r="H99" s="2">
        <f>COVID_19_Coronavirus[[#This Row],[Total Deaths]]/COVID_19_Coronavirus[[#This Row],[Total Cases]]</f>
        <v>2.9560810810810812E-3</v>
      </c>
      <c r="I99" s="1">
        <f>COVID_19_Coronavirus[[#This Row],[Total Cases]]-COVID_19_Coronavirus[[#This Row],[Total Deaths]]</f>
        <v>28332</v>
      </c>
    </row>
    <row r="100" spans="1:9" x14ac:dyDescent="0.35">
      <c r="A100" t="s">
        <v>221</v>
      </c>
      <c r="B100" s="1">
        <v>9326000</v>
      </c>
      <c r="C100" t="s">
        <v>12</v>
      </c>
      <c r="D100" s="1">
        <v>3943153</v>
      </c>
      <c r="E100" s="1">
        <v>10530</v>
      </c>
      <c r="F100" s="1">
        <v>422813</v>
      </c>
      <c r="G100" s="1">
        <v>1129</v>
      </c>
      <c r="H100" s="2">
        <f>COVID_19_Coronavirus[[#This Row],[Total Deaths]]/COVID_19_Coronavirus[[#This Row],[Total Cases]]</f>
        <v>2.6704517932730483E-3</v>
      </c>
      <c r="I100" s="1">
        <f>COVID_19_Coronavirus[[#This Row],[Total Cases]]-COVID_19_Coronavirus[[#This Row],[Total Deaths]]</f>
        <v>3932623</v>
      </c>
    </row>
    <row r="101" spans="1:9" x14ac:dyDescent="0.35">
      <c r="A101" t="s">
        <v>223</v>
      </c>
      <c r="B101" s="1">
        <v>60306185</v>
      </c>
      <c r="C101" t="s">
        <v>15</v>
      </c>
      <c r="D101" s="1">
        <v>14846514</v>
      </c>
      <c r="E101" s="1">
        <v>159784</v>
      </c>
      <c r="F101" s="1">
        <v>246186</v>
      </c>
      <c r="G101" s="1">
        <v>2650</v>
      </c>
      <c r="H101" s="2">
        <f>COVID_19_Coronavirus[[#This Row],[Total Deaths]]/COVID_19_Coronavirus[[#This Row],[Total Cases]]</f>
        <v>1.0762391764154198E-2</v>
      </c>
      <c r="I101" s="1">
        <f>COVID_19_Coronavirus[[#This Row],[Total Cases]]-COVID_19_Coronavirus[[#This Row],[Total Deaths]]</f>
        <v>14686730</v>
      </c>
    </row>
    <row r="102" spans="1:9" x14ac:dyDescent="0.35">
      <c r="A102" t="s">
        <v>225</v>
      </c>
      <c r="B102" s="1">
        <v>27520953</v>
      </c>
      <c r="C102" t="s">
        <v>18</v>
      </c>
      <c r="D102" s="1">
        <v>81761</v>
      </c>
      <c r="E102" s="1">
        <v>796</v>
      </c>
      <c r="F102" s="1">
        <v>2971</v>
      </c>
      <c r="G102" s="1">
        <v>29</v>
      </c>
      <c r="H102" s="2">
        <f>COVID_19_Coronavirus[[#This Row],[Total Deaths]]/COVID_19_Coronavirus[[#This Row],[Total Cases]]</f>
        <v>9.7356930565917731E-3</v>
      </c>
      <c r="I102" s="1">
        <f>COVID_19_Coronavirus[[#This Row],[Total Cases]]-COVID_19_Coronavirus[[#This Row],[Total Deaths]]</f>
        <v>80965</v>
      </c>
    </row>
    <row r="103" spans="1:9" x14ac:dyDescent="0.35">
      <c r="A103" t="s">
        <v>228</v>
      </c>
      <c r="B103" s="1">
        <v>2983794</v>
      </c>
      <c r="C103" t="s">
        <v>25</v>
      </c>
      <c r="D103" s="1">
        <v>128811</v>
      </c>
      <c r="E103" s="1">
        <v>2893</v>
      </c>
      <c r="F103" s="1">
        <v>43170</v>
      </c>
      <c r="G103" s="1">
        <v>970</v>
      </c>
      <c r="H103" s="2">
        <f>COVID_19_Coronavirus[[#This Row],[Total Deaths]]/COVID_19_Coronavirus[[#This Row],[Total Cases]]</f>
        <v>2.245926201954802E-2</v>
      </c>
      <c r="I103" s="1">
        <f>COVID_19_Coronavirus[[#This Row],[Total Cases]]-COVID_19_Coronavirus[[#This Row],[Total Deaths]]</f>
        <v>125918</v>
      </c>
    </row>
    <row r="104" spans="1:9" x14ac:dyDescent="0.35">
      <c r="A104" t="s">
        <v>230</v>
      </c>
      <c r="B104" s="1">
        <v>125798669</v>
      </c>
      <c r="C104" t="s">
        <v>12</v>
      </c>
      <c r="D104" s="1">
        <v>6653841</v>
      </c>
      <c r="E104" s="1">
        <v>28248</v>
      </c>
      <c r="F104" s="1">
        <v>52893</v>
      </c>
      <c r="G104" s="1">
        <v>225</v>
      </c>
      <c r="H104" s="2">
        <f>COVID_19_Coronavirus[[#This Row],[Total Deaths]]/COVID_19_Coronavirus[[#This Row],[Total Cases]]</f>
        <v>4.2453674501690079E-3</v>
      </c>
      <c r="I104" s="1">
        <f>COVID_19_Coronavirus[[#This Row],[Total Cases]]-COVID_19_Coronavirus[[#This Row],[Total Deaths]]</f>
        <v>6625593</v>
      </c>
    </row>
    <row r="105" spans="1:9" x14ac:dyDescent="0.35">
      <c r="A105" t="s">
        <v>232</v>
      </c>
      <c r="B105" s="1">
        <v>10380442</v>
      </c>
      <c r="C105" t="s">
        <v>12</v>
      </c>
      <c r="D105" s="1">
        <v>1689314</v>
      </c>
      <c r="E105" s="1">
        <v>14003</v>
      </c>
      <c r="F105" s="1">
        <v>162740</v>
      </c>
      <c r="G105" s="1">
        <v>1349</v>
      </c>
      <c r="H105" s="2">
        <f>COVID_19_Coronavirus[[#This Row],[Total Deaths]]/COVID_19_Coronavirus[[#This Row],[Total Cases]]</f>
        <v>8.289163530285075E-3</v>
      </c>
      <c r="I105" s="1">
        <f>COVID_19_Coronavirus[[#This Row],[Total Cases]]-COVID_19_Coronavirus[[#This Row],[Total Deaths]]</f>
        <v>1675311</v>
      </c>
    </row>
    <row r="106" spans="1:9" x14ac:dyDescent="0.35">
      <c r="A106" t="s">
        <v>234</v>
      </c>
      <c r="B106" s="1">
        <v>19169833</v>
      </c>
      <c r="C106" t="s">
        <v>12</v>
      </c>
      <c r="D106" s="1">
        <v>1305188</v>
      </c>
      <c r="E106" s="1">
        <v>13660</v>
      </c>
      <c r="F106" s="1">
        <v>68086</v>
      </c>
      <c r="G106" s="1">
        <v>713</v>
      </c>
      <c r="H106" s="2">
        <f>COVID_19_Coronavirus[[#This Row],[Total Deaths]]/COVID_19_Coronavirus[[#This Row],[Total Cases]]</f>
        <v>1.0465925215371272E-2</v>
      </c>
      <c r="I106" s="1">
        <f>COVID_19_Coronavirus[[#This Row],[Total Cases]]-COVID_19_Coronavirus[[#This Row],[Total Deaths]]</f>
        <v>1291528</v>
      </c>
    </row>
    <row r="107" spans="1:9" x14ac:dyDescent="0.35">
      <c r="A107" t="s">
        <v>236</v>
      </c>
      <c r="B107" s="1">
        <v>55843563</v>
      </c>
      <c r="C107" t="s">
        <v>18</v>
      </c>
      <c r="D107" s="1">
        <v>323454</v>
      </c>
      <c r="E107" s="1">
        <v>5648</v>
      </c>
      <c r="F107" s="1">
        <v>5792</v>
      </c>
      <c r="G107" s="1">
        <v>101</v>
      </c>
      <c r="H107" s="2">
        <f>COVID_19_Coronavirus[[#This Row],[Total Deaths]]/COVID_19_Coronavirus[[#This Row],[Total Cases]]</f>
        <v>1.746152466811355E-2</v>
      </c>
      <c r="I107" s="1">
        <f>COVID_19_Coronavirus[[#This Row],[Total Cases]]-COVID_19_Coronavirus[[#This Row],[Total Deaths]]</f>
        <v>317806</v>
      </c>
    </row>
    <row r="108" spans="1:9" x14ac:dyDescent="0.35">
      <c r="A108" t="s">
        <v>238</v>
      </c>
      <c r="B108" s="1">
        <v>122656</v>
      </c>
      <c r="C108" t="s">
        <v>36</v>
      </c>
      <c r="D108" s="1">
        <v>3067</v>
      </c>
      <c r="E108" s="1">
        <v>13</v>
      </c>
      <c r="F108" s="1">
        <v>25005</v>
      </c>
      <c r="G108" s="1">
        <v>106</v>
      </c>
      <c r="H108" s="2">
        <f>COVID_19_Coronavirus[[#This Row],[Total Deaths]]/COVID_19_Coronavirus[[#This Row],[Total Cases]]</f>
        <v>4.2386697098141506E-3</v>
      </c>
      <c r="I108" s="1">
        <f>COVID_19_Coronavirus[[#This Row],[Total Cases]]-COVID_19_Coronavirus[[#This Row],[Total Deaths]]</f>
        <v>3054</v>
      </c>
    </row>
    <row r="109" spans="1:9" x14ac:dyDescent="0.35">
      <c r="A109" t="s">
        <v>240</v>
      </c>
      <c r="B109" s="1">
        <v>4381108</v>
      </c>
      <c r="C109" t="s">
        <v>12</v>
      </c>
      <c r="D109" s="1">
        <v>629525</v>
      </c>
      <c r="E109" s="1">
        <v>2554</v>
      </c>
      <c r="F109" s="1">
        <v>143691</v>
      </c>
      <c r="G109" s="1">
        <v>583</v>
      </c>
      <c r="H109" s="2">
        <f>COVID_19_Coronavirus[[#This Row],[Total Deaths]]/COVID_19_Coronavirus[[#This Row],[Total Cases]]</f>
        <v>4.0570271236249553E-3</v>
      </c>
      <c r="I109" s="1">
        <f>COVID_19_Coronavirus[[#This Row],[Total Cases]]-COVID_19_Coronavirus[[#This Row],[Total Deaths]]</f>
        <v>626971</v>
      </c>
    </row>
    <row r="110" spans="1:9" x14ac:dyDescent="0.35">
      <c r="A110" t="s">
        <v>242</v>
      </c>
      <c r="B110" s="1">
        <v>6712569</v>
      </c>
      <c r="C110" t="s">
        <v>12</v>
      </c>
      <c r="D110" s="1">
        <v>200968</v>
      </c>
      <c r="E110" s="1">
        <v>2991</v>
      </c>
      <c r="F110" s="1">
        <v>29939</v>
      </c>
      <c r="G110" s="1">
        <v>446</v>
      </c>
      <c r="H110" s="2">
        <f>COVID_19_Coronavirus[[#This Row],[Total Deaths]]/COVID_19_Coronavirus[[#This Row],[Total Cases]]</f>
        <v>1.4882966442418693E-2</v>
      </c>
      <c r="I110" s="1">
        <f>COVID_19_Coronavirus[[#This Row],[Total Cases]]-COVID_19_Coronavirus[[#This Row],[Total Deaths]]</f>
        <v>197977</v>
      </c>
    </row>
    <row r="111" spans="1:9" x14ac:dyDescent="0.35">
      <c r="A111" t="s">
        <v>244</v>
      </c>
      <c r="B111" s="1">
        <v>7460338</v>
      </c>
      <c r="C111" t="s">
        <v>12</v>
      </c>
      <c r="D111" s="1">
        <v>183560</v>
      </c>
      <c r="E111" s="1">
        <v>679</v>
      </c>
      <c r="F111" s="1">
        <v>24605</v>
      </c>
      <c r="G111" s="1">
        <v>91</v>
      </c>
      <c r="H111" s="2">
        <f>COVID_19_Coronavirus[[#This Row],[Total Deaths]]/COVID_19_Coronavirus[[#This Row],[Total Cases]]</f>
        <v>3.6990629766833734E-3</v>
      </c>
      <c r="I111" s="1">
        <f>COVID_19_Coronavirus[[#This Row],[Total Cases]]-COVID_19_Coronavirus[[#This Row],[Total Deaths]]</f>
        <v>182881</v>
      </c>
    </row>
    <row r="112" spans="1:9" x14ac:dyDescent="0.35">
      <c r="A112" t="s">
        <v>247</v>
      </c>
      <c r="B112" s="1">
        <v>1849698</v>
      </c>
      <c r="C112" t="s">
        <v>15</v>
      </c>
      <c r="D112" s="1">
        <v>802534</v>
      </c>
      <c r="E112" s="1">
        <v>5643</v>
      </c>
      <c r="F112" s="1">
        <v>433873</v>
      </c>
      <c r="G112" s="1">
        <v>3051</v>
      </c>
      <c r="H112" s="2">
        <f>COVID_19_Coronavirus[[#This Row],[Total Deaths]]/COVID_19_Coronavirus[[#This Row],[Total Cases]]</f>
        <v>7.0314777940872287E-3</v>
      </c>
      <c r="I112" s="1">
        <f>COVID_19_Coronavirus[[#This Row],[Total Cases]]-COVID_19_Coronavirus[[#This Row],[Total Deaths]]</f>
        <v>796891</v>
      </c>
    </row>
    <row r="113" spans="1:9" x14ac:dyDescent="0.35">
      <c r="A113" t="s">
        <v>249</v>
      </c>
      <c r="B113" s="1">
        <v>6771939</v>
      </c>
      <c r="C113" t="s">
        <v>12</v>
      </c>
      <c r="D113" s="1">
        <v>1092995</v>
      </c>
      <c r="E113" s="1">
        <v>10315</v>
      </c>
      <c r="F113" s="1">
        <v>161401</v>
      </c>
      <c r="G113" s="1">
        <v>1523</v>
      </c>
      <c r="H113" s="2">
        <f>COVID_19_Coronavirus[[#This Row],[Total Deaths]]/COVID_19_Coronavirus[[#This Row],[Total Cases]]</f>
        <v>9.4373716256707495E-3</v>
      </c>
      <c r="I113" s="1">
        <f>COVID_19_Coronavirus[[#This Row],[Total Cases]]-COVID_19_Coronavirus[[#This Row],[Total Deaths]]</f>
        <v>1082680</v>
      </c>
    </row>
    <row r="114" spans="1:9" x14ac:dyDescent="0.35">
      <c r="A114" t="s">
        <v>251</v>
      </c>
      <c r="B114" s="1">
        <v>2171978</v>
      </c>
      <c r="C114" t="s">
        <v>18</v>
      </c>
      <c r="D114" s="1">
        <v>32910</v>
      </c>
      <c r="E114" s="1">
        <v>697</v>
      </c>
      <c r="F114" s="1">
        <v>15152</v>
      </c>
      <c r="G114" s="1">
        <v>321</v>
      </c>
      <c r="H114" s="2">
        <f>COVID_19_Coronavirus[[#This Row],[Total Deaths]]/COVID_19_Coronavirus[[#This Row],[Total Cases]]</f>
        <v>2.1178972956548161E-2</v>
      </c>
      <c r="I114" s="1">
        <f>COVID_19_Coronavirus[[#This Row],[Total Cases]]-COVID_19_Coronavirus[[#This Row],[Total Deaths]]</f>
        <v>32213</v>
      </c>
    </row>
    <row r="115" spans="1:9" x14ac:dyDescent="0.35">
      <c r="A115" t="s">
        <v>253</v>
      </c>
      <c r="B115" s="1">
        <v>5265647</v>
      </c>
      <c r="C115" t="s">
        <v>18</v>
      </c>
      <c r="D115" s="1">
        <v>7400</v>
      </c>
      <c r="E115" s="1">
        <v>294</v>
      </c>
      <c r="F115" s="1">
        <v>1405</v>
      </c>
      <c r="G115" s="1">
        <v>56</v>
      </c>
      <c r="H115" s="2">
        <f>COVID_19_Coronavirus[[#This Row],[Total Deaths]]/COVID_19_Coronavirus[[#This Row],[Total Cases]]</f>
        <v>3.9729729729729726E-2</v>
      </c>
      <c r="I115" s="1">
        <f>COVID_19_Coronavirus[[#This Row],[Total Cases]]-COVID_19_Coronavirus[[#This Row],[Total Deaths]]</f>
        <v>7106</v>
      </c>
    </row>
    <row r="116" spans="1:9" x14ac:dyDescent="0.35">
      <c r="A116" t="s">
        <v>255</v>
      </c>
      <c r="B116" s="1">
        <v>7034832</v>
      </c>
      <c r="C116" t="s">
        <v>18</v>
      </c>
      <c r="D116" s="1">
        <v>501738</v>
      </c>
      <c r="E116" s="1">
        <v>6419</v>
      </c>
      <c r="F116" s="1">
        <v>71322</v>
      </c>
      <c r="G116" s="1">
        <v>912</v>
      </c>
      <c r="H116" s="2">
        <f>COVID_19_Coronavirus[[#This Row],[Total Deaths]]/COVID_19_Coronavirus[[#This Row],[Total Cases]]</f>
        <v>1.2793529690794798E-2</v>
      </c>
      <c r="I116" s="1">
        <f>COVID_19_Coronavirus[[#This Row],[Total Cases]]-COVID_19_Coronavirus[[#This Row],[Total Deaths]]</f>
        <v>495319</v>
      </c>
    </row>
    <row r="117" spans="1:9" x14ac:dyDescent="0.35">
      <c r="A117" t="s">
        <v>257</v>
      </c>
      <c r="B117" s="1">
        <v>38320</v>
      </c>
      <c r="C117" t="s">
        <v>15</v>
      </c>
      <c r="D117" s="1">
        <v>16429</v>
      </c>
      <c r="E117" s="1">
        <v>84</v>
      </c>
      <c r="F117" s="1">
        <v>428732</v>
      </c>
      <c r="G117" s="1">
        <v>2192</v>
      </c>
      <c r="H117" s="2">
        <f>COVID_19_Coronavirus[[#This Row],[Total Deaths]]/COVID_19_Coronavirus[[#This Row],[Total Cases]]</f>
        <v>5.1129100979974435E-3</v>
      </c>
      <c r="I117" s="1">
        <f>COVID_19_Coronavirus[[#This Row],[Total Cases]]-COVID_19_Coronavirus[[#This Row],[Total Deaths]]</f>
        <v>16345</v>
      </c>
    </row>
    <row r="118" spans="1:9" x14ac:dyDescent="0.35">
      <c r="A118" t="s">
        <v>259</v>
      </c>
      <c r="B118" s="1">
        <v>2655811</v>
      </c>
      <c r="C118" t="s">
        <v>15</v>
      </c>
      <c r="D118" s="1">
        <v>1030966</v>
      </c>
      <c r="E118" s="1">
        <v>8907</v>
      </c>
      <c r="F118" s="1">
        <v>388193</v>
      </c>
      <c r="G118" s="1">
        <v>3354</v>
      </c>
      <c r="H118" s="2">
        <f>COVID_19_Coronavirus[[#This Row],[Total Deaths]]/COVID_19_Coronavirus[[#This Row],[Total Cases]]</f>
        <v>8.6394701668144249E-3</v>
      </c>
      <c r="I118" s="1">
        <f>COVID_19_Coronavirus[[#This Row],[Total Cases]]-COVID_19_Coronavirus[[#This Row],[Total Deaths]]</f>
        <v>1022059</v>
      </c>
    </row>
    <row r="119" spans="1:9" x14ac:dyDescent="0.35">
      <c r="A119" t="s">
        <v>261</v>
      </c>
      <c r="B119" s="1">
        <v>643801</v>
      </c>
      <c r="C119" t="s">
        <v>15</v>
      </c>
      <c r="D119" s="1">
        <v>216979</v>
      </c>
      <c r="E119" s="1">
        <v>1037</v>
      </c>
      <c r="F119" s="1">
        <v>337028</v>
      </c>
      <c r="G119" s="1">
        <v>1611</v>
      </c>
      <c r="H119" s="2">
        <f>COVID_19_Coronavirus[[#This Row],[Total Deaths]]/COVID_19_Coronavirus[[#This Row],[Total Cases]]</f>
        <v>4.7792643527714666E-3</v>
      </c>
      <c r="I119" s="1">
        <f>COVID_19_Coronavirus[[#This Row],[Total Cases]]-COVID_19_Coronavirus[[#This Row],[Total Deaths]]</f>
        <v>215942</v>
      </c>
    </row>
    <row r="120" spans="1:9" x14ac:dyDescent="0.35">
      <c r="A120" t="s">
        <v>263</v>
      </c>
      <c r="B120" s="1">
        <v>664828</v>
      </c>
      <c r="C120" t="s">
        <v>12</v>
      </c>
      <c r="D120" s="1">
        <v>82</v>
      </c>
      <c r="E120" s="1">
        <v>0</v>
      </c>
      <c r="F120" s="1">
        <v>123</v>
      </c>
      <c r="G120" s="1">
        <v>0</v>
      </c>
      <c r="H120" s="2">
        <f>COVID_19_Coronavirus[[#This Row],[Total Deaths]]/COVID_19_Coronavirus[[#This Row],[Total Cases]]</f>
        <v>0</v>
      </c>
      <c r="I120" s="1">
        <f>COVID_19_Coronavirus[[#This Row],[Total Cases]]-COVID_19_Coronavirus[[#This Row],[Total Deaths]]</f>
        <v>82</v>
      </c>
    </row>
    <row r="121" spans="1:9" x14ac:dyDescent="0.35">
      <c r="A121" t="s">
        <v>266</v>
      </c>
      <c r="B121" s="1">
        <v>28936285</v>
      </c>
      <c r="C121" t="s">
        <v>18</v>
      </c>
      <c r="D121" s="1">
        <v>64050</v>
      </c>
      <c r="E121" s="1">
        <v>1388</v>
      </c>
      <c r="F121" s="1">
        <v>2213</v>
      </c>
      <c r="G121" s="1">
        <v>48</v>
      </c>
      <c r="H121" s="2">
        <f>COVID_19_Coronavirus[[#This Row],[Total Deaths]]/COVID_19_Coronavirus[[#This Row],[Total Cases]]</f>
        <v>2.167056986729118E-2</v>
      </c>
      <c r="I121" s="1">
        <f>COVID_19_Coronavirus[[#This Row],[Total Cases]]-COVID_19_Coronavirus[[#This Row],[Total Deaths]]</f>
        <v>62662</v>
      </c>
    </row>
    <row r="122" spans="1:9" x14ac:dyDescent="0.35">
      <c r="A122" t="s">
        <v>268</v>
      </c>
      <c r="B122" s="1">
        <v>19994654</v>
      </c>
      <c r="C122" t="s">
        <v>18</v>
      </c>
      <c r="D122" s="1">
        <v>85664</v>
      </c>
      <c r="E122" s="1">
        <v>2626</v>
      </c>
      <c r="F122" s="1">
        <v>4284</v>
      </c>
      <c r="G122" s="1">
        <v>131</v>
      </c>
      <c r="H122" s="2">
        <f>COVID_19_Coronavirus[[#This Row],[Total Deaths]]/COVID_19_Coronavirus[[#This Row],[Total Cases]]</f>
        <v>3.0654650728427345E-2</v>
      </c>
      <c r="I122" s="1">
        <f>COVID_19_Coronavirus[[#This Row],[Total Cases]]-COVID_19_Coronavirus[[#This Row],[Total Deaths]]</f>
        <v>83038</v>
      </c>
    </row>
    <row r="123" spans="1:9" x14ac:dyDescent="0.35">
      <c r="A123" t="s">
        <v>270</v>
      </c>
      <c r="B123" s="1">
        <v>33091831</v>
      </c>
      <c r="C123" t="s">
        <v>12</v>
      </c>
      <c r="D123" s="1">
        <v>4246467</v>
      </c>
      <c r="E123" s="1">
        <v>35099</v>
      </c>
      <c r="F123" s="1">
        <v>128324</v>
      </c>
      <c r="G123" s="1">
        <v>1061</v>
      </c>
      <c r="H123" s="2">
        <f>COVID_19_Coronavirus[[#This Row],[Total Deaths]]/COVID_19_Coronavirus[[#This Row],[Total Cases]]</f>
        <v>8.265459262959067E-3</v>
      </c>
      <c r="I123" s="1">
        <f>COVID_19_Coronavirus[[#This Row],[Total Cases]]-COVID_19_Coronavirus[[#This Row],[Total Deaths]]</f>
        <v>4211368</v>
      </c>
    </row>
    <row r="124" spans="1:9" x14ac:dyDescent="0.35">
      <c r="A124" t="s">
        <v>272</v>
      </c>
      <c r="B124" s="1">
        <v>557204</v>
      </c>
      <c r="C124" t="s">
        <v>12</v>
      </c>
      <c r="D124" s="1">
        <v>176993</v>
      </c>
      <c r="E124" s="1">
        <v>298</v>
      </c>
      <c r="F124" s="1">
        <v>317645</v>
      </c>
      <c r="G124" s="1">
        <v>535</v>
      </c>
      <c r="H124" s="2">
        <f>COVID_19_Coronavirus[[#This Row],[Total Deaths]]/COVID_19_Coronavirus[[#This Row],[Total Cases]]</f>
        <v>1.6836824055188623E-3</v>
      </c>
      <c r="I124" s="1">
        <f>COVID_19_Coronavirus[[#This Row],[Total Cases]]-COVID_19_Coronavirus[[#This Row],[Total Deaths]]</f>
        <v>176695</v>
      </c>
    </row>
    <row r="125" spans="1:9" x14ac:dyDescent="0.35">
      <c r="A125" t="s">
        <v>274</v>
      </c>
      <c r="B125" s="1">
        <v>21271006</v>
      </c>
      <c r="C125" t="s">
        <v>18</v>
      </c>
      <c r="D125" s="1">
        <v>30495</v>
      </c>
      <c r="E125" s="1">
        <v>728</v>
      </c>
      <c r="F125" s="1">
        <v>1434</v>
      </c>
      <c r="G125" s="1">
        <v>34</v>
      </c>
      <c r="H125" s="2">
        <f>COVID_19_Coronavirus[[#This Row],[Total Deaths]]/COVID_19_Coronavirus[[#This Row],[Total Cases]]</f>
        <v>2.3872766027217576E-2</v>
      </c>
      <c r="I125" s="1">
        <f>COVID_19_Coronavirus[[#This Row],[Total Cases]]-COVID_19_Coronavirus[[#This Row],[Total Deaths]]</f>
        <v>29767</v>
      </c>
    </row>
    <row r="126" spans="1:9" x14ac:dyDescent="0.35">
      <c r="A126" t="s">
        <v>276</v>
      </c>
      <c r="B126" s="1">
        <v>443602</v>
      </c>
      <c r="C126" t="s">
        <v>15</v>
      </c>
      <c r="D126" s="1">
        <v>81596</v>
      </c>
      <c r="E126" s="1">
        <v>641</v>
      </c>
      <c r="F126" s="1">
        <v>183940</v>
      </c>
      <c r="G126" s="1">
        <v>1445</v>
      </c>
      <c r="H126" s="2">
        <f>COVID_19_Coronavirus[[#This Row],[Total Deaths]]/COVID_19_Coronavirus[[#This Row],[Total Cases]]</f>
        <v>7.855777243982549E-3</v>
      </c>
      <c r="I126" s="1">
        <f>COVID_19_Coronavirus[[#This Row],[Total Cases]]-COVID_19_Coronavirus[[#This Row],[Total Deaths]]</f>
        <v>80955</v>
      </c>
    </row>
    <row r="127" spans="1:9" x14ac:dyDescent="0.35">
      <c r="A127" t="s">
        <v>278</v>
      </c>
      <c r="B127" s="1">
        <v>59889</v>
      </c>
      <c r="C127" t="s">
        <v>36</v>
      </c>
      <c r="D127" s="1">
        <v>7</v>
      </c>
      <c r="E127" s="1">
        <v>0</v>
      </c>
      <c r="F127" s="1">
        <v>117</v>
      </c>
      <c r="G127" s="1">
        <v>0</v>
      </c>
      <c r="H127" s="2">
        <f>COVID_19_Coronavirus[[#This Row],[Total Deaths]]/COVID_19_Coronavirus[[#This Row],[Total Cases]]</f>
        <v>0</v>
      </c>
      <c r="I127" s="1">
        <f>COVID_19_Coronavirus[[#This Row],[Total Cases]]-COVID_19_Coronavirus[[#This Row],[Total Deaths]]</f>
        <v>7</v>
      </c>
    </row>
    <row r="128" spans="1:9" x14ac:dyDescent="0.35">
      <c r="A128" t="s">
        <v>280</v>
      </c>
      <c r="B128" s="1">
        <v>374756</v>
      </c>
      <c r="C128" t="s">
        <v>25</v>
      </c>
      <c r="D128" s="1">
        <v>141415</v>
      </c>
      <c r="E128" s="1">
        <v>909</v>
      </c>
      <c r="F128" s="1">
        <v>377352</v>
      </c>
      <c r="G128" s="1">
        <v>2426</v>
      </c>
      <c r="H128" s="2">
        <f>COVID_19_Coronavirus[[#This Row],[Total Deaths]]/COVID_19_Coronavirus[[#This Row],[Total Cases]]</f>
        <v>6.4278895449563344E-3</v>
      </c>
      <c r="I128" s="1">
        <f>COVID_19_Coronavirus[[#This Row],[Total Cases]]-COVID_19_Coronavirus[[#This Row],[Total Deaths]]</f>
        <v>140506</v>
      </c>
    </row>
    <row r="129" spans="1:9" x14ac:dyDescent="0.35">
      <c r="A129" t="s">
        <v>282</v>
      </c>
      <c r="B129" s="1">
        <v>4863443</v>
      </c>
      <c r="C129" t="s">
        <v>18</v>
      </c>
      <c r="D129" s="1">
        <v>58670</v>
      </c>
      <c r="E129" s="1">
        <v>982</v>
      </c>
      <c r="F129" s="1">
        <v>12063</v>
      </c>
      <c r="G129" s="1">
        <v>202</v>
      </c>
      <c r="H129" s="2">
        <f>COVID_19_Coronavirus[[#This Row],[Total Deaths]]/COVID_19_Coronavirus[[#This Row],[Total Cases]]</f>
        <v>1.6737685358786433E-2</v>
      </c>
      <c r="I129" s="1">
        <f>COVID_19_Coronavirus[[#This Row],[Total Cases]]-COVID_19_Coronavirus[[#This Row],[Total Deaths]]</f>
        <v>57688</v>
      </c>
    </row>
    <row r="130" spans="1:9" x14ac:dyDescent="0.35">
      <c r="A130" t="s">
        <v>284</v>
      </c>
      <c r="B130" s="1">
        <v>1275463</v>
      </c>
      <c r="C130" t="s">
        <v>18</v>
      </c>
      <c r="D130" s="1">
        <v>36628</v>
      </c>
      <c r="E130" s="1">
        <v>968</v>
      </c>
      <c r="F130" s="1">
        <v>28717</v>
      </c>
      <c r="G130" s="1">
        <v>759</v>
      </c>
      <c r="H130" s="2">
        <f>COVID_19_Coronavirus[[#This Row],[Total Deaths]]/COVID_19_Coronavirus[[#This Row],[Total Cases]]</f>
        <v>2.6427869389538058E-2</v>
      </c>
      <c r="I130" s="1">
        <f>COVID_19_Coronavirus[[#This Row],[Total Cases]]-COVID_19_Coronavirus[[#This Row],[Total Deaths]]</f>
        <v>35660</v>
      </c>
    </row>
    <row r="131" spans="1:9" x14ac:dyDescent="0.35">
      <c r="A131" t="s">
        <v>286</v>
      </c>
      <c r="B131" s="1">
        <v>284330</v>
      </c>
      <c r="C131" t="s">
        <v>18</v>
      </c>
      <c r="D131" s="1">
        <v>36891</v>
      </c>
      <c r="E131" s="1">
        <v>187</v>
      </c>
      <c r="F131" s="1">
        <v>129747</v>
      </c>
      <c r="G131" s="1">
        <v>658</v>
      </c>
      <c r="H131" s="2">
        <f>COVID_19_Coronavirus[[#This Row],[Total Deaths]]/COVID_19_Coronavirus[[#This Row],[Total Cases]]</f>
        <v>5.0689870158033123E-3</v>
      </c>
      <c r="I131" s="1">
        <f>COVID_19_Coronavirus[[#This Row],[Total Cases]]-COVID_19_Coronavirus[[#This Row],[Total Deaths]]</f>
        <v>36704</v>
      </c>
    </row>
    <row r="132" spans="1:9" x14ac:dyDescent="0.35">
      <c r="A132" t="s">
        <v>288</v>
      </c>
      <c r="B132" s="1">
        <v>131303955</v>
      </c>
      <c r="C132" t="s">
        <v>25</v>
      </c>
      <c r="D132" s="1">
        <v>5665376</v>
      </c>
      <c r="E132" s="1">
        <v>323212</v>
      </c>
      <c r="F132" s="1">
        <v>43147</v>
      </c>
      <c r="G132" s="1">
        <v>2462</v>
      </c>
      <c r="H132" s="2">
        <f>COVID_19_Coronavirus[[#This Row],[Total Deaths]]/COVID_19_Coronavirus[[#This Row],[Total Cases]]</f>
        <v>5.7050405833611047E-2</v>
      </c>
      <c r="I132" s="1">
        <f>COVID_19_Coronavirus[[#This Row],[Total Cases]]-COVID_19_Coronavirus[[#This Row],[Total Deaths]]</f>
        <v>5342164</v>
      </c>
    </row>
    <row r="133" spans="1:9" x14ac:dyDescent="0.35">
      <c r="A133" t="s">
        <v>290</v>
      </c>
      <c r="B133" s="1">
        <v>117134</v>
      </c>
      <c r="C133" t="s">
        <v>36</v>
      </c>
      <c r="D133" s="1">
        <v>1</v>
      </c>
      <c r="E133" s="1">
        <v>0</v>
      </c>
      <c r="F133" s="1">
        <v>9</v>
      </c>
      <c r="G133" s="1">
        <v>0</v>
      </c>
      <c r="H133" s="2">
        <f>COVID_19_Coronavirus[[#This Row],[Total Deaths]]/COVID_19_Coronavirus[[#This Row],[Total Cases]]</f>
        <v>0</v>
      </c>
      <c r="I133" s="1">
        <f>COVID_19_Coronavirus[[#This Row],[Total Cases]]-COVID_19_Coronavirus[[#This Row],[Total Deaths]]</f>
        <v>1</v>
      </c>
    </row>
    <row r="134" spans="1:9" x14ac:dyDescent="0.35">
      <c r="A134" t="s">
        <v>293</v>
      </c>
      <c r="B134" s="1">
        <v>4017550</v>
      </c>
      <c r="C134" t="s">
        <v>15</v>
      </c>
      <c r="D134" s="1">
        <v>514199</v>
      </c>
      <c r="E134" s="1">
        <v>11446</v>
      </c>
      <c r="F134" s="1">
        <v>127988</v>
      </c>
      <c r="G134" s="1">
        <v>2849</v>
      </c>
      <c r="H134" s="2">
        <f>COVID_19_Coronavirus[[#This Row],[Total Deaths]]/COVID_19_Coronavirus[[#This Row],[Total Cases]]</f>
        <v>2.2259864371575986E-2</v>
      </c>
      <c r="I134" s="1">
        <f>COVID_19_Coronavirus[[#This Row],[Total Cases]]-COVID_19_Coronavirus[[#This Row],[Total Deaths]]</f>
        <v>502753</v>
      </c>
    </row>
    <row r="135" spans="1:9" x14ac:dyDescent="0.35">
      <c r="A135" t="s">
        <v>296</v>
      </c>
      <c r="B135" s="1">
        <v>39729</v>
      </c>
      <c r="C135" t="s">
        <v>15</v>
      </c>
      <c r="D135" s="1">
        <v>10842</v>
      </c>
      <c r="E135" s="1">
        <v>54</v>
      </c>
      <c r="F135" s="1">
        <v>272899</v>
      </c>
      <c r="G135" s="1">
        <v>1359</v>
      </c>
      <c r="H135" s="2">
        <f>COVID_19_Coronavirus[[#This Row],[Total Deaths]]/COVID_19_Coronavirus[[#This Row],[Total Cases]]</f>
        <v>4.9806308799114551E-3</v>
      </c>
      <c r="I135" s="1">
        <f>COVID_19_Coronavirus[[#This Row],[Total Cases]]-COVID_19_Coronavirus[[#This Row],[Total Deaths]]</f>
        <v>10788</v>
      </c>
    </row>
    <row r="136" spans="1:9" x14ac:dyDescent="0.35">
      <c r="A136" t="s">
        <v>298</v>
      </c>
      <c r="B136" s="1">
        <v>3370682</v>
      </c>
      <c r="C136" t="s">
        <v>12</v>
      </c>
      <c r="D136" s="1">
        <v>468610</v>
      </c>
      <c r="E136" s="1">
        <v>2177</v>
      </c>
      <c r="F136" s="1">
        <v>139025</v>
      </c>
      <c r="G136" s="1">
        <v>646</v>
      </c>
      <c r="H136" s="2">
        <f>COVID_19_Coronavirus[[#This Row],[Total Deaths]]/COVID_19_Coronavirus[[#This Row],[Total Cases]]</f>
        <v>4.6456541687117216E-3</v>
      </c>
      <c r="I136" s="1">
        <f>COVID_19_Coronavirus[[#This Row],[Total Cases]]-COVID_19_Coronavirus[[#This Row],[Total Deaths]]</f>
        <v>466433</v>
      </c>
    </row>
    <row r="137" spans="1:9" x14ac:dyDescent="0.35">
      <c r="A137" t="s">
        <v>300</v>
      </c>
      <c r="B137" s="1">
        <v>628205</v>
      </c>
      <c r="C137" t="s">
        <v>15</v>
      </c>
      <c r="D137" s="1">
        <v>233326</v>
      </c>
      <c r="E137" s="1">
        <v>2705</v>
      </c>
      <c r="F137" s="1">
        <v>371417</v>
      </c>
      <c r="G137" s="1">
        <v>4306</v>
      </c>
      <c r="H137" s="2">
        <f>COVID_19_Coronavirus[[#This Row],[Total Deaths]]/COVID_19_Coronavirus[[#This Row],[Total Cases]]</f>
        <v>1.1593221501247182E-2</v>
      </c>
      <c r="I137" s="1">
        <f>COVID_19_Coronavirus[[#This Row],[Total Cases]]-COVID_19_Coronavirus[[#This Row],[Total Deaths]]</f>
        <v>230621</v>
      </c>
    </row>
    <row r="138" spans="1:9" x14ac:dyDescent="0.35">
      <c r="A138" t="s">
        <v>302</v>
      </c>
      <c r="B138" s="1">
        <v>4997</v>
      </c>
      <c r="C138" t="s">
        <v>25</v>
      </c>
      <c r="D138" s="1">
        <v>175</v>
      </c>
      <c r="E138" s="1">
        <v>2</v>
      </c>
      <c r="F138" s="1">
        <v>35021</v>
      </c>
      <c r="G138" s="1">
        <v>400</v>
      </c>
      <c r="H138" s="2">
        <f>COVID_19_Coronavirus[[#This Row],[Total Deaths]]/COVID_19_Coronavirus[[#This Row],[Total Cases]]</f>
        <v>1.1428571428571429E-2</v>
      </c>
      <c r="I138" s="1">
        <f>COVID_19_Coronavirus[[#This Row],[Total Cases]]-COVID_19_Coronavirus[[#This Row],[Total Deaths]]</f>
        <v>173</v>
      </c>
    </row>
    <row r="139" spans="1:9" x14ac:dyDescent="0.35">
      <c r="A139" t="s">
        <v>304</v>
      </c>
      <c r="B139" s="1">
        <v>37676342</v>
      </c>
      <c r="C139" t="s">
        <v>18</v>
      </c>
      <c r="D139" s="1">
        <v>1163526</v>
      </c>
      <c r="E139" s="1">
        <v>16060</v>
      </c>
      <c r="F139" s="1">
        <v>30882</v>
      </c>
      <c r="G139" s="1">
        <v>426</v>
      </c>
      <c r="H139" s="2">
        <f>COVID_19_Coronavirus[[#This Row],[Total Deaths]]/COVID_19_Coronavirus[[#This Row],[Total Cases]]</f>
        <v>1.380287161610484E-2</v>
      </c>
      <c r="I139" s="1">
        <f>COVID_19_Coronavirus[[#This Row],[Total Cases]]-COVID_19_Coronavirus[[#This Row],[Total Deaths]]</f>
        <v>1147466</v>
      </c>
    </row>
    <row r="140" spans="1:9" x14ac:dyDescent="0.35">
      <c r="A140" t="s">
        <v>306</v>
      </c>
      <c r="B140" s="1">
        <v>32787052</v>
      </c>
      <c r="C140" t="s">
        <v>18</v>
      </c>
      <c r="D140" s="1">
        <v>225266</v>
      </c>
      <c r="E140" s="1">
        <v>2200</v>
      </c>
      <c r="F140" s="1">
        <v>6871</v>
      </c>
      <c r="G140" s="1">
        <v>67</v>
      </c>
      <c r="H140" s="2">
        <f>COVID_19_Coronavirus[[#This Row],[Total Deaths]]/COVID_19_Coronavirus[[#This Row],[Total Cases]]</f>
        <v>9.7662319213729538E-3</v>
      </c>
      <c r="I140" s="1">
        <f>COVID_19_Coronavirus[[#This Row],[Total Cases]]-COVID_19_Coronavirus[[#This Row],[Total Deaths]]</f>
        <v>223066</v>
      </c>
    </row>
    <row r="141" spans="1:9" x14ac:dyDescent="0.35">
      <c r="A141" t="s">
        <v>308</v>
      </c>
      <c r="B141" s="1">
        <v>55048340</v>
      </c>
      <c r="C141" t="s">
        <v>12</v>
      </c>
      <c r="D141" s="1">
        <v>611875</v>
      </c>
      <c r="E141" s="1">
        <v>19433</v>
      </c>
      <c r="F141" s="1">
        <v>11115</v>
      </c>
      <c r="G141" s="1">
        <v>353</v>
      </c>
      <c r="H141" s="2">
        <f>COVID_19_Coronavirus[[#This Row],[Total Deaths]]/COVID_19_Coronavirus[[#This Row],[Total Cases]]</f>
        <v>3.1759754851889685E-2</v>
      </c>
      <c r="I141" s="1">
        <f>COVID_19_Coronavirus[[#This Row],[Total Cases]]-COVID_19_Coronavirus[[#This Row],[Total Deaths]]</f>
        <v>592442</v>
      </c>
    </row>
    <row r="142" spans="1:9" x14ac:dyDescent="0.35">
      <c r="A142" t="s">
        <v>310</v>
      </c>
      <c r="B142" s="1">
        <v>2621429</v>
      </c>
      <c r="C142" t="s">
        <v>18</v>
      </c>
      <c r="D142" s="1">
        <v>157646</v>
      </c>
      <c r="E142" s="1">
        <v>4019</v>
      </c>
      <c r="F142" s="1">
        <v>60137</v>
      </c>
      <c r="G142" s="1">
        <v>1533</v>
      </c>
      <c r="H142" s="2">
        <f>COVID_19_Coronavirus[[#This Row],[Total Deaths]]/COVID_19_Coronavirus[[#This Row],[Total Cases]]</f>
        <v>2.5493827943620515E-2</v>
      </c>
      <c r="I142" s="1">
        <f>COVID_19_Coronavirus[[#This Row],[Total Cases]]-COVID_19_Coronavirus[[#This Row],[Total Deaths]]</f>
        <v>153627</v>
      </c>
    </row>
    <row r="143" spans="1:9" x14ac:dyDescent="0.35">
      <c r="A143" t="s">
        <v>312</v>
      </c>
      <c r="B143" s="1">
        <v>30053867</v>
      </c>
      <c r="C143" t="s">
        <v>12</v>
      </c>
      <c r="D143" s="1">
        <v>978475</v>
      </c>
      <c r="E143" s="1">
        <v>11951</v>
      </c>
      <c r="F143" s="1">
        <v>32557</v>
      </c>
      <c r="G143" s="1">
        <v>398</v>
      </c>
      <c r="H143" s="2">
        <f>COVID_19_Coronavirus[[#This Row],[Total Deaths]]/COVID_19_Coronavirus[[#This Row],[Total Cases]]</f>
        <v>1.2213904289838779E-2</v>
      </c>
      <c r="I143" s="1">
        <f>COVID_19_Coronavirus[[#This Row],[Total Cases]]-COVID_19_Coronavirus[[#This Row],[Total Deaths]]</f>
        <v>966524</v>
      </c>
    </row>
    <row r="144" spans="1:9" x14ac:dyDescent="0.35">
      <c r="A144" t="s">
        <v>314</v>
      </c>
      <c r="B144" s="1">
        <v>17201245</v>
      </c>
      <c r="C144" t="s">
        <v>15</v>
      </c>
      <c r="D144" s="1">
        <v>7908701</v>
      </c>
      <c r="E144" s="1">
        <v>22016</v>
      </c>
      <c r="F144" s="1">
        <v>459775</v>
      </c>
      <c r="G144" s="1">
        <v>1280</v>
      </c>
      <c r="H144" s="2">
        <f>COVID_19_Coronavirus[[#This Row],[Total Deaths]]/COVID_19_Coronavirus[[#This Row],[Total Cases]]</f>
        <v>2.7837694205407435E-3</v>
      </c>
      <c r="I144" s="1">
        <f>COVID_19_Coronavirus[[#This Row],[Total Cases]]-COVID_19_Coronavirus[[#This Row],[Total Deaths]]</f>
        <v>7886685</v>
      </c>
    </row>
    <row r="145" spans="1:9" x14ac:dyDescent="0.35">
      <c r="A145" t="s">
        <v>316</v>
      </c>
      <c r="B145" s="1">
        <v>290302</v>
      </c>
      <c r="C145" t="s">
        <v>36</v>
      </c>
      <c r="D145" s="1">
        <v>60294</v>
      </c>
      <c r="E145" s="1">
        <v>311</v>
      </c>
      <c r="F145" s="1">
        <v>207694</v>
      </c>
      <c r="G145" s="1">
        <v>1071</v>
      </c>
      <c r="H145" s="2">
        <f>COVID_19_Coronavirus[[#This Row],[Total Deaths]]/COVID_19_Coronavirus[[#This Row],[Total Cases]]</f>
        <v>5.1580588449928683E-3</v>
      </c>
      <c r="I145" s="1">
        <f>COVID_19_Coronavirus[[#This Row],[Total Cases]]-COVID_19_Coronavirus[[#This Row],[Total Deaths]]</f>
        <v>59983</v>
      </c>
    </row>
    <row r="146" spans="1:9" x14ac:dyDescent="0.35">
      <c r="A146" t="s">
        <v>318</v>
      </c>
      <c r="B146" s="1">
        <v>5002100</v>
      </c>
      <c r="C146" t="s">
        <v>36</v>
      </c>
      <c r="D146" s="1">
        <v>693219</v>
      </c>
      <c r="E146" s="1">
        <v>350</v>
      </c>
      <c r="F146" s="1">
        <v>138586</v>
      </c>
      <c r="G146" s="1">
        <v>70</v>
      </c>
      <c r="H146" s="2">
        <f>COVID_19_Coronavirus[[#This Row],[Total Deaths]]/COVID_19_Coronavirus[[#This Row],[Total Cases]]</f>
        <v>5.0489095076736211E-4</v>
      </c>
      <c r="I146" s="1">
        <f>COVID_19_Coronavirus[[#This Row],[Total Cases]]-COVID_19_Coronavirus[[#This Row],[Total Deaths]]</f>
        <v>692869</v>
      </c>
    </row>
    <row r="147" spans="1:9" x14ac:dyDescent="0.35">
      <c r="A147" t="s">
        <v>320</v>
      </c>
      <c r="B147" s="1">
        <v>6762511</v>
      </c>
      <c r="C147" t="s">
        <v>25</v>
      </c>
      <c r="D147" s="1">
        <v>18434</v>
      </c>
      <c r="E147" s="1">
        <v>224</v>
      </c>
      <c r="F147" s="1">
        <v>2726</v>
      </c>
      <c r="G147" s="1">
        <v>33</v>
      </c>
      <c r="H147" s="2">
        <f>COVID_19_Coronavirus[[#This Row],[Total Deaths]]/COVID_19_Coronavirus[[#This Row],[Total Cases]]</f>
        <v>1.2151459260062928E-2</v>
      </c>
      <c r="I147" s="1">
        <f>COVID_19_Coronavirus[[#This Row],[Total Cases]]-COVID_19_Coronavirus[[#This Row],[Total Deaths]]</f>
        <v>18210</v>
      </c>
    </row>
    <row r="148" spans="1:9" x14ac:dyDescent="0.35">
      <c r="A148" t="s">
        <v>322</v>
      </c>
      <c r="B148" s="1">
        <v>25738714</v>
      </c>
      <c r="C148" t="s">
        <v>18</v>
      </c>
      <c r="D148" s="1">
        <v>8811</v>
      </c>
      <c r="E148" s="1">
        <v>308</v>
      </c>
      <c r="F148" s="1">
        <v>342</v>
      </c>
      <c r="G148" s="1">
        <v>12</v>
      </c>
      <c r="H148" s="2">
        <f>COVID_19_Coronavirus[[#This Row],[Total Deaths]]/COVID_19_Coronavirus[[#This Row],[Total Cases]]</f>
        <v>3.495630461922597E-2</v>
      </c>
      <c r="I148" s="1">
        <f>COVID_19_Coronavirus[[#This Row],[Total Cases]]-COVID_19_Coronavirus[[#This Row],[Total Deaths]]</f>
        <v>8503</v>
      </c>
    </row>
    <row r="149" spans="1:9" x14ac:dyDescent="0.35">
      <c r="A149" t="s">
        <v>324</v>
      </c>
      <c r="B149" s="1">
        <v>215077352</v>
      </c>
      <c r="C149" t="s">
        <v>18</v>
      </c>
      <c r="D149" s="1">
        <v>255468</v>
      </c>
      <c r="E149" s="1">
        <v>3142</v>
      </c>
      <c r="F149" s="1">
        <v>1188</v>
      </c>
      <c r="G149" s="1">
        <v>15</v>
      </c>
      <c r="H149" s="2">
        <f>COVID_19_Coronavirus[[#This Row],[Total Deaths]]/COVID_19_Coronavirus[[#This Row],[Total Cases]]</f>
        <v>1.2298996351793571E-2</v>
      </c>
      <c r="I149" s="1">
        <f>COVID_19_Coronavirus[[#This Row],[Total Cases]]-COVID_19_Coronavirus[[#This Row],[Total Deaths]]</f>
        <v>252326</v>
      </c>
    </row>
    <row r="150" spans="1:9" x14ac:dyDescent="0.35">
      <c r="A150" t="s">
        <v>326</v>
      </c>
      <c r="B150" s="1">
        <v>1645</v>
      </c>
      <c r="C150" t="s">
        <v>36</v>
      </c>
      <c r="D150" s="1">
        <v>7</v>
      </c>
      <c r="E150" s="1">
        <v>0</v>
      </c>
      <c r="F150" s="1">
        <v>4255</v>
      </c>
      <c r="G150" s="1">
        <v>0</v>
      </c>
      <c r="H150" s="2">
        <f>COVID_19_Coronavirus[[#This Row],[Total Deaths]]/COVID_19_Coronavirus[[#This Row],[Total Cases]]</f>
        <v>0</v>
      </c>
      <c r="I150" s="1">
        <f>COVID_19_Coronavirus[[#This Row],[Total Cases]]-COVID_19_Coronavirus[[#This Row],[Total Deaths]]</f>
        <v>7</v>
      </c>
    </row>
    <row r="151" spans="1:9" x14ac:dyDescent="0.35">
      <c r="A151" t="s">
        <v>328</v>
      </c>
      <c r="B151" s="1">
        <v>2083224</v>
      </c>
      <c r="C151" t="s">
        <v>15</v>
      </c>
      <c r="D151" s="1">
        <v>306670</v>
      </c>
      <c r="E151" s="1">
        <v>9228</v>
      </c>
      <c r="F151" s="1">
        <v>147209</v>
      </c>
      <c r="G151" s="1">
        <v>4430</v>
      </c>
      <c r="H151" s="2">
        <f>COVID_19_Coronavirus[[#This Row],[Total Deaths]]/COVID_19_Coronavirus[[#This Row],[Total Cases]]</f>
        <v>3.0090977271986175E-2</v>
      </c>
      <c r="I151" s="1">
        <f>COVID_19_Coronavirus[[#This Row],[Total Cases]]-COVID_19_Coronavirus[[#This Row],[Total Deaths]]</f>
        <v>297442</v>
      </c>
    </row>
    <row r="152" spans="1:9" x14ac:dyDescent="0.35">
      <c r="A152" t="s">
        <v>331</v>
      </c>
      <c r="B152" s="1">
        <v>5495449</v>
      </c>
      <c r="C152" t="s">
        <v>15</v>
      </c>
      <c r="D152" s="1">
        <v>1408708</v>
      </c>
      <c r="E152" s="1">
        <v>2518</v>
      </c>
      <c r="F152" s="1">
        <v>256341</v>
      </c>
      <c r="G152" s="1">
        <v>458</v>
      </c>
      <c r="H152" s="2">
        <f>COVID_19_Coronavirus[[#This Row],[Total Deaths]]/COVID_19_Coronavirus[[#This Row],[Total Cases]]</f>
        <v>1.7874534680004657E-3</v>
      </c>
      <c r="I152" s="1">
        <f>COVID_19_Coronavirus[[#This Row],[Total Cases]]-COVID_19_Coronavirus[[#This Row],[Total Deaths]]</f>
        <v>1406190</v>
      </c>
    </row>
    <row r="153" spans="1:9" x14ac:dyDescent="0.35">
      <c r="A153" t="s">
        <v>333</v>
      </c>
      <c r="B153" s="1">
        <v>5333815</v>
      </c>
      <c r="C153" t="s">
        <v>12</v>
      </c>
      <c r="D153" s="1">
        <v>388468</v>
      </c>
      <c r="E153" s="1">
        <v>4251</v>
      </c>
      <c r="F153" s="1">
        <v>72831</v>
      </c>
      <c r="G153" s="1">
        <v>797</v>
      </c>
      <c r="H153" s="2">
        <f>COVID_19_Coronavirus[[#This Row],[Total Deaths]]/COVID_19_Coronavirus[[#This Row],[Total Cases]]</f>
        <v>1.0942986294881432E-2</v>
      </c>
      <c r="I153" s="1">
        <f>COVID_19_Coronavirus[[#This Row],[Total Cases]]-COVID_19_Coronavirus[[#This Row],[Total Deaths]]</f>
        <v>384217</v>
      </c>
    </row>
    <row r="154" spans="1:9" x14ac:dyDescent="0.35">
      <c r="A154" t="s">
        <v>335</v>
      </c>
      <c r="B154" s="1">
        <v>228397520</v>
      </c>
      <c r="C154" t="s">
        <v>12</v>
      </c>
      <c r="D154" s="1">
        <v>1525466</v>
      </c>
      <c r="E154" s="1">
        <v>30361</v>
      </c>
      <c r="F154" s="1">
        <v>6679</v>
      </c>
      <c r="G154" s="1">
        <v>133</v>
      </c>
      <c r="H154" s="2">
        <f>COVID_19_Coronavirus[[#This Row],[Total Deaths]]/COVID_19_Coronavirus[[#This Row],[Total Cases]]</f>
        <v>1.9902770694332092E-2</v>
      </c>
      <c r="I154" s="1">
        <f>COVID_19_Coronavirus[[#This Row],[Total Cases]]-COVID_19_Coronavirus[[#This Row],[Total Deaths]]</f>
        <v>1495105</v>
      </c>
    </row>
    <row r="155" spans="1:9" x14ac:dyDescent="0.35">
      <c r="A155" t="s">
        <v>337</v>
      </c>
      <c r="B155" s="1">
        <v>18245</v>
      </c>
      <c r="C155" t="s">
        <v>36</v>
      </c>
      <c r="D155" s="1">
        <v>4042</v>
      </c>
      <c r="E155" s="1">
        <v>6</v>
      </c>
      <c r="F155" s="1">
        <v>221540</v>
      </c>
      <c r="G155" s="1">
        <v>329</v>
      </c>
      <c r="H155" s="2">
        <f>COVID_19_Coronavirus[[#This Row],[Total Deaths]]/COVID_19_Coronavirus[[#This Row],[Total Cases]]</f>
        <v>1.4844136566056407E-3</v>
      </c>
      <c r="I155" s="1">
        <f>COVID_19_Coronavirus[[#This Row],[Total Cases]]-COVID_19_Coronavirus[[#This Row],[Total Deaths]]</f>
        <v>4036</v>
      </c>
    </row>
    <row r="156" spans="1:9" x14ac:dyDescent="0.35">
      <c r="A156" t="s">
        <v>339</v>
      </c>
      <c r="B156" s="1">
        <v>5308883</v>
      </c>
      <c r="C156" t="s">
        <v>12</v>
      </c>
      <c r="D156" s="1">
        <v>581236</v>
      </c>
      <c r="E156" s="1">
        <v>5351</v>
      </c>
      <c r="F156" s="1">
        <v>109484</v>
      </c>
      <c r="G156" s="1">
        <v>1008</v>
      </c>
      <c r="H156" s="2">
        <f>COVID_19_Coronavirus[[#This Row],[Total Deaths]]/COVID_19_Coronavirus[[#This Row],[Total Cases]]</f>
        <v>9.206243247149179E-3</v>
      </c>
      <c r="I156" s="1">
        <f>COVID_19_Coronavirus[[#This Row],[Total Cases]]-COVID_19_Coronavirus[[#This Row],[Total Deaths]]</f>
        <v>575885</v>
      </c>
    </row>
    <row r="157" spans="1:9" x14ac:dyDescent="0.35">
      <c r="A157" t="s">
        <v>342</v>
      </c>
      <c r="B157" s="1">
        <v>4433639</v>
      </c>
      <c r="C157" t="s">
        <v>25</v>
      </c>
      <c r="D157" s="1">
        <v>765213</v>
      </c>
      <c r="E157" s="1">
        <v>8170</v>
      </c>
      <c r="F157" s="1">
        <v>172593</v>
      </c>
      <c r="G157" s="1">
        <v>1843</v>
      </c>
      <c r="H157" s="2">
        <f>COVID_19_Coronavirus[[#This Row],[Total Deaths]]/COVID_19_Coronavirus[[#This Row],[Total Cases]]</f>
        <v>1.0676765815531101E-2</v>
      </c>
      <c r="I157" s="1">
        <f>COVID_19_Coronavirus[[#This Row],[Total Cases]]-COVID_19_Coronavirus[[#This Row],[Total Deaths]]</f>
        <v>757043</v>
      </c>
    </row>
    <row r="158" spans="1:9" x14ac:dyDescent="0.35">
      <c r="A158" t="s">
        <v>344</v>
      </c>
      <c r="B158" s="1">
        <v>9243590</v>
      </c>
      <c r="C158" t="s">
        <v>36</v>
      </c>
      <c r="D158" s="1">
        <v>42203</v>
      </c>
      <c r="E158" s="1">
        <v>640</v>
      </c>
      <c r="F158" s="1">
        <v>4566</v>
      </c>
      <c r="G158" s="1">
        <v>69</v>
      </c>
      <c r="H158" s="2">
        <f>COVID_19_Coronavirus[[#This Row],[Total Deaths]]/COVID_19_Coronavirus[[#This Row],[Total Cases]]</f>
        <v>1.5164798710992109E-2</v>
      </c>
      <c r="I158" s="1">
        <f>COVID_19_Coronavirus[[#This Row],[Total Cases]]-COVID_19_Coronavirus[[#This Row],[Total Deaths]]</f>
        <v>41563</v>
      </c>
    </row>
    <row r="159" spans="1:9" x14ac:dyDescent="0.35">
      <c r="A159" t="s">
        <v>346</v>
      </c>
      <c r="B159" s="1">
        <v>7285892</v>
      </c>
      <c r="C159" t="s">
        <v>25</v>
      </c>
      <c r="D159" s="1">
        <v>648353</v>
      </c>
      <c r="E159" s="1">
        <v>18731</v>
      </c>
      <c r="F159" s="1">
        <v>88987</v>
      </c>
      <c r="G159" s="1">
        <v>2571</v>
      </c>
      <c r="H159" s="2">
        <f>COVID_19_Coronavirus[[#This Row],[Total Deaths]]/COVID_19_Coronavirus[[#This Row],[Total Cases]]</f>
        <v>2.8890126212109762E-2</v>
      </c>
      <c r="I159" s="1">
        <f>COVID_19_Coronavirus[[#This Row],[Total Cases]]-COVID_19_Coronavirus[[#This Row],[Total Deaths]]</f>
        <v>629622</v>
      </c>
    </row>
    <row r="160" spans="1:9" x14ac:dyDescent="0.35">
      <c r="A160" t="s">
        <v>348</v>
      </c>
      <c r="B160" s="1">
        <v>33775745</v>
      </c>
      <c r="C160" t="s">
        <v>25</v>
      </c>
      <c r="D160" s="1">
        <v>3548559</v>
      </c>
      <c r="E160" s="1">
        <v>212328</v>
      </c>
      <c r="F160" s="1">
        <v>105062</v>
      </c>
      <c r="G160" s="1">
        <v>6286</v>
      </c>
      <c r="H160" s="2">
        <f>COVID_19_Coronavirus[[#This Row],[Total Deaths]]/COVID_19_Coronavirus[[#This Row],[Total Cases]]</f>
        <v>5.9834992175697231E-2</v>
      </c>
      <c r="I160" s="1">
        <f>COVID_19_Coronavirus[[#This Row],[Total Cases]]-COVID_19_Coronavirus[[#This Row],[Total Deaths]]</f>
        <v>3336231</v>
      </c>
    </row>
    <row r="161" spans="1:9" x14ac:dyDescent="0.35">
      <c r="A161" t="s">
        <v>350</v>
      </c>
      <c r="B161" s="1">
        <v>112133868</v>
      </c>
      <c r="C161" t="s">
        <v>12</v>
      </c>
      <c r="D161" s="1">
        <v>3679485</v>
      </c>
      <c r="E161" s="1">
        <v>59343</v>
      </c>
      <c r="F161" s="1">
        <v>32813</v>
      </c>
      <c r="G161" s="1">
        <v>529</v>
      </c>
      <c r="H161" s="2">
        <f>COVID_19_Coronavirus[[#This Row],[Total Deaths]]/COVID_19_Coronavirus[[#This Row],[Total Cases]]</f>
        <v>1.6128072270983576E-2</v>
      </c>
      <c r="I161" s="1">
        <f>COVID_19_Coronavirus[[#This Row],[Total Cases]]-COVID_19_Coronavirus[[#This Row],[Total Deaths]]</f>
        <v>3620142</v>
      </c>
    </row>
    <row r="162" spans="1:9" x14ac:dyDescent="0.35">
      <c r="A162" t="s">
        <v>352</v>
      </c>
      <c r="B162" s="1">
        <v>37774045</v>
      </c>
      <c r="C162" t="s">
        <v>15</v>
      </c>
      <c r="D162" s="1">
        <v>5969621</v>
      </c>
      <c r="E162" s="1">
        <v>115345</v>
      </c>
      <c r="F162" s="1">
        <v>158035</v>
      </c>
      <c r="G162" s="1">
        <v>3054</v>
      </c>
      <c r="H162" s="2">
        <f>COVID_19_Coronavirus[[#This Row],[Total Deaths]]/COVID_19_Coronavirus[[#This Row],[Total Cases]]</f>
        <v>1.9321997158613588E-2</v>
      </c>
      <c r="I162" s="1">
        <f>COVID_19_Coronavirus[[#This Row],[Total Cases]]-COVID_19_Coronavirus[[#This Row],[Total Deaths]]</f>
        <v>5854276</v>
      </c>
    </row>
    <row r="163" spans="1:9" x14ac:dyDescent="0.35">
      <c r="A163" t="s">
        <v>354</v>
      </c>
      <c r="B163" s="1">
        <v>10144662</v>
      </c>
      <c r="C163" t="s">
        <v>15</v>
      </c>
      <c r="D163" s="1">
        <v>3604114</v>
      </c>
      <c r="E163" s="1">
        <v>21693</v>
      </c>
      <c r="F163" s="1">
        <v>355272</v>
      </c>
      <c r="G163" s="1">
        <v>2138</v>
      </c>
      <c r="H163" s="2">
        <f>COVID_19_Coronavirus[[#This Row],[Total Deaths]]/COVID_19_Coronavirus[[#This Row],[Total Cases]]</f>
        <v>6.0189550053078231E-3</v>
      </c>
      <c r="I163" s="1">
        <f>COVID_19_Coronavirus[[#This Row],[Total Cases]]-COVID_19_Coronavirus[[#This Row],[Total Deaths]]</f>
        <v>3582421</v>
      </c>
    </row>
    <row r="164" spans="1:9" x14ac:dyDescent="0.35">
      <c r="A164" t="s">
        <v>356</v>
      </c>
      <c r="B164" s="1">
        <v>2807805</v>
      </c>
      <c r="C164" t="s">
        <v>12</v>
      </c>
      <c r="D164" s="1">
        <v>361819</v>
      </c>
      <c r="E164" s="1">
        <v>677</v>
      </c>
      <c r="F164" s="1">
        <v>128862</v>
      </c>
      <c r="G164" s="1">
        <v>241</v>
      </c>
      <c r="H164" s="2">
        <f>COVID_19_Coronavirus[[#This Row],[Total Deaths]]/COVID_19_Coronavirus[[#This Row],[Total Cases]]</f>
        <v>1.8711012965046058E-3</v>
      </c>
      <c r="I164" s="1">
        <f>COVID_19_Coronavirus[[#This Row],[Total Cases]]-COVID_19_Coronavirus[[#This Row],[Total Deaths]]</f>
        <v>361142</v>
      </c>
    </row>
    <row r="165" spans="1:9" x14ac:dyDescent="0.35">
      <c r="A165" t="s">
        <v>358</v>
      </c>
      <c r="B165" s="1">
        <v>906497</v>
      </c>
      <c r="C165" t="s">
        <v>18</v>
      </c>
      <c r="D165" s="1">
        <v>336945</v>
      </c>
      <c r="E165" s="1">
        <v>709</v>
      </c>
      <c r="F165" s="1">
        <v>371700</v>
      </c>
      <c r="G165" s="1">
        <v>782</v>
      </c>
      <c r="H165" s="2">
        <f>COVID_19_Coronavirus[[#This Row],[Total Deaths]]/COVID_19_Coronavirus[[#This Row],[Total Cases]]</f>
        <v>2.1042009823561709E-3</v>
      </c>
      <c r="I165" s="1">
        <f>COVID_19_Coronavirus[[#This Row],[Total Cases]]-COVID_19_Coronavirus[[#This Row],[Total Deaths]]</f>
        <v>336236</v>
      </c>
    </row>
    <row r="166" spans="1:9" x14ac:dyDescent="0.35">
      <c r="A166" t="s">
        <v>361</v>
      </c>
      <c r="B166" s="1">
        <v>19013049</v>
      </c>
      <c r="C166" t="s">
        <v>15</v>
      </c>
      <c r="D166" s="1">
        <v>2860094</v>
      </c>
      <c r="E166" s="1">
        <v>65090</v>
      </c>
      <c r="F166" s="1">
        <v>150428</v>
      </c>
      <c r="G166" s="1">
        <v>3423</v>
      </c>
      <c r="H166" s="2">
        <f>COVID_19_Coronavirus[[#This Row],[Total Deaths]]/COVID_19_Coronavirus[[#This Row],[Total Cases]]</f>
        <v>2.2757993268752705E-2</v>
      </c>
      <c r="I166" s="1">
        <f>COVID_19_Coronavirus[[#This Row],[Total Cases]]-COVID_19_Coronavirus[[#This Row],[Total Deaths]]</f>
        <v>2795004</v>
      </c>
    </row>
    <row r="167" spans="1:9" x14ac:dyDescent="0.35">
      <c r="A167" t="s">
        <v>363</v>
      </c>
      <c r="B167" s="1">
        <v>146044010</v>
      </c>
      <c r="C167" t="s">
        <v>15</v>
      </c>
      <c r="D167" s="1">
        <v>17896866</v>
      </c>
      <c r="E167" s="1">
        <v>369708</v>
      </c>
      <c r="F167" s="1">
        <v>122544</v>
      </c>
      <c r="G167" s="1">
        <v>2531</v>
      </c>
      <c r="H167" s="2">
        <f>COVID_19_Coronavirus[[#This Row],[Total Deaths]]/COVID_19_Coronavirus[[#This Row],[Total Cases]]</f>
        <v>2.065769504001427E-2</v>
      </c>
      <c r="I167" s="1">
        <f>COVID_19_Coronavirus[[#This Row],[Total Cases]]-COVID_19_Coronavirus[[#This Row],[Total Deaths]]</f>
        <v>17527158</v>
      </c>
    </row>
    <row r="168" spans="1:9" x14ac:dyDescent="0.35">
      <c r="A168" t="s">
        <v>366</v>
      </c>
      <c r="B168" s="1">
        <v>13513881</v>
      </c>
      <c r="C168" t="s">
        <v>18</v>
      </c>
      <c r="D168" s="1">
        <v>129728</v>
      </c>
      <c r="E168" s="1">
        <v>1458</v>
      </c>
      <c r="F168" s="1">
        <v>9600</v>
      </c>
      <c r="G168" s="1">
        <v>108</v>
      </c>
      <c r="H168" s="2">
        <f>COVID_19_Coronavirus[[#This Row],[Total Deaths]]/COVID_19_Coronavirus[[#This Row],[Total Cases]]</f>
        <v>1.1238899851998026E-2</v>
      </c>
      <c r="I168" s="1">
        <f>COVID_19_Coronavirus[[#This Row],[Total Cases]]-COVID_19_Coronavirus[[#This Row],[Total Deaths]]</f>
        <v>128270</v>
      </c>
    </row>
    <row r="169" spans="1:9" x14ac:dyDescent="0.35">
      <c r="A169" t="s">
        <v>368</v>
      </c>
      <c r="B169" s="1">
        <v>51346429</v>
      </c>
      <c r="C169" t="s">
        <v>12</v>
      </c>
      <c r="D169" s="1">
        <v>13874216</v>
      </c>
      <c r="E169" s="1">
        <v>17235</v>
      </c>
      <c r="F169" s="1">
        <v>270208</v>
      </c>
      <c r="G169" s="1">
        <v>336</v>
      </c>
      <c r="H169" s="2">
        <f>COVID_19_Coronavirus[[#This Row],[Total Deaths]]/COVID_19_Coronavirus[[#This Row],[Total Cases]]</f>
        <v>1.2422323538857979E-3</v>
      </c>
      <c r="I169" s="1">
        <f>COVID_19_Coronavirus[[#This Row],[Total Cases]]-COVID_19_Coronavirus[[#This Row],[Total Deaths]]</f>
        <v>13856981</v>
      </c>
    </row>
    <row r="170" spans="1:9" x14ac:dyDescent="0.35">
      <c r="A170" t="s">
        <v>371</v>
      </c>
      <c r="B170" s="1">
        <v>6109</v>
      </c>
      <c r="C170" t="s">
        <v>18</v>
      </c>
      <c r="D170" s="1">
        <v>2</v>
      </c>
      <c r="E170" s="1">
        <v>0</v>
      </c>
      <c r="F170" s="1">
        <v>327</v>
      </c>
      <c r="G170" s="1">
        <v>0</v>
      </c>
      <c r="H170" s="2">
        <f>COVID_19_Coronavirus[[#This Row],[Total Deaths]]/COVID_19_Coronavirus[[#This Row],[Total Cases]]</f>
        <v>0</v>
      </c>
      <c r="I170" s="1">
        <f>COVID_19_Coronavirus[[#This Row],[Total Cases]]-COVID_19_Coronavirus[[#This Row],[Total Deaths]]</f>
        <v>2</v>
      </c>
    </row>
    <row r="171" spans="1:9" x14ac:dyDescent="0.35">
      <c r="A171" t="s">
        <v>373</v>
      </c>
      <c r="B171" s="1">
        <v>53858</v>
      </c>
      <c r="C171" t="s">
        <v>25</v>
      </c>
      <c r="D171" s="1">
        <v>5549</v>
      </c>
      <c r="E171" s="1">
        <v>43</v>
      </c>
      <c r="F171" s="1">
        <v>103030</v>
      </c>
      <c r="G171" s="1">
        <v>798</v>
      </c>
      <c r="H171" s="2">
        <f>COVID_19_Coronavirus[[#This Row],[Total Deaths]]/COVID_19_Coronavirus[[#This Row],[Total Cases]]</f>
        <v>7.7491439899080913E-3</v>
      </c>
      <c r="I171" s="1">
        <f>COVID_19_Coronavirus[[#This Row],[Total Cases]]-COVID_19_Coronavirus[[#This Row],[Total Deaths]]</f>
        <v>5506</v>
      </c>
    </row>
    <row r="172" spans="1:9" x14ac:dyDescent="0.35">
      <c r="A172" t="s">
        <v>375</v>
      </c>
      <c r="B172" s="1">
        <v>185096</v>
      </c>
      <c r="C172" t="s">
        <v>25</v>
      </c>
      <c r="D172" s="1">
        <v>22964</v>
      </c>
      <c r="E172" s="1">
        <v>365</v>
      </c>
      <c r="F172" s="1">
        <v>124065</v>
      </c>
      <c r="G172" s="1">
        <v>1972</v>
      </c>
      <c r="H172" s="2">
        <f>COVID_19_Coronavirus[[#This Row],[Total Deaths]]/COVID_19_Coronavirus[[#This Row],[Total Cases]]</f>
        <v>1.5894443476746213E-2</v>
      </c>
      <c r="I172" s="1">
        <f>COVID_19_Coronavirus[[#This Row],[Total Cases]]-COVID_19_Coronavirus[[#This Row],[Total Deaths]]</f>
        <v>22599</v>
      </c>
    </row>
    <row r="173" spans="1:9" x14ac:dyDescent="0.35">
      <c r="A173" t="s">
        <v>377</v>
      </c>
      <c r="B173" s="1">
        <v>39820</v>
      </c>
      <c r="C173" t="s">
        <v>25</v>
      </c>
      <c r="D173" s="1">
        <v>10107</v>
      </c>
      <c r="E173" s="1">
        <v>63</v>
      </c>
      <c r="F173" s="1">
        <v>253817</v>
      </c>
      <c r="G173" s="1">
        <v>1582</v>
      </c>
      <c r="H173" s="2">
        <f>COVID_19_Coronavirus[[#This Row],[Total Deaths]]/COVID_19_Coronavirus[[#This Row],[Total Cases]]</f>
        <v>6.2333036509349959E-3</v>
      </c>
      <c r="I173" s="1">
        <f>COVID_19_Coronavirus[[#This Row],[Total Cases]]-COVID_19_Coronavirus[[#This Row],[Total Deaths]]</f>
        <v>10044</v>
      </c>
    </row>
    <row r="174" spans="1:9" x14ac:dyDescent="0.35">
      <c r="A174" t="s">
        <v>379</v>
      </c>
      <c r="B174" s="1">
        <v>5744</v>
      </c>
      <c r="C174" t="s">
        <v>59</v>
      </c>
      <c r="D174" s="1">
        <v>1957</v>
      </c>
      <c r="E174" s="1">
        <v>1</v>
      </c>
      <c r="F174" s="1">
        <v>340703</v>
      </c>
      <c r="G174" s="1">
        <v>174</v>
      </c>
      <c r="H174" s="2">
        <f>COVID_19_Coronavirus[[#This Row],[Total Deaths]]/COVID_19_Coronavirus[[#This Row],[Total Cases]]</f>
        <v>5.1098620337250899E-4</v>
      </c>
      <c r="I174" s="1">
        <f>COVID_19_Coronavirus[[#This Row],[Total Cases]]-COVID_19_Coronavirus[[#This Row],[Total Deaths]]</f>
        <v>1956</v>
      </c>
    </row>
    <row r="175" spans="1:9" x14ac:dyDescent="0.35">
      <c r="A175" t="s">
        <v>382</v>
      </c>
      <c r="B175" s="1">
        <v>200722</v>
      </c>
      <c r="C175" t="s">
        <v>36</v>
      </c>
      <c r="D175" s="1">
        <v>2285</v>
      </c>
      <c r="E175" s="1">
        <v>1</v>
      </c>
      <c r="F175" s="1">
        <v>11384</v>
      </c>
      <c r="G175" s="1">
        <v>5</v>
      </c>
      <c r="H175" s="2">
        <f>COVID_19_Coronavirus[[#This Row],[Total Deaths]]/COVID_19_Coronavirus[[#This Row],[Total Cases]]</f>
        <v>4.3763676148796501E-4</v>
      </c>
      <c r="I175" s="1">
        <f>COVID_19_Coronavirus[[#This Row],[Total Cases]]-COVID_19_Coronavirus[[#This Row],[Total Deaths]]</f>
        <v>2284</v>
      </c>
    </row>
    <row r="176" spans="1:9" x14ac:dyDescent="0.35">
      <c r="A176" t="s">
        <v>384</v>
      </c>
      <c r="B176" s="1">
        <v>34056</v>
      </c>
      <c r="C176" t="s">
        <v>15</v>
      </c>
      <c r="D176" s="1">
        <v>15181</v>
      </c>
      <c r="E176" s="1">
        <v>113</v>
      </c>
      <c r="F176" s="1">
        <v>445766</v>
      </c>
      <c r="G176" s="1">
        <v>3318</v>
      </c>
      <c r="H176" s="2">
        <f>COVID_19_Coronavirus[[#This Row],[Total Deaths]]/COVID_19_Coronavirus[[#This Row],[Total Cases]]</f>
        <v>7.4435149199657468E-3</v>
      </c>
      <c r="I176" s="1">
        <f>COVID_19_Coronavirus[[#This Row],[Total Cases]]-COVID_19_Coronavirus[[#This Row],[Total Deaths]]</f>
        <v>15068</v>
      </c>
    </row>
    <row r="177" spans="1:9" x14ac:dyDescent="0.35">
      <c r="A177" t="s">
        <v>386</v>
      </c>
      <c r="B177" s="1">
        <v>226281</v>
      </c>
      <c r="C177" t="s">
        <v>18</v>
      </c>
      <c r="D177" s="1">
        <v>5945</v>
      </c>
      <c r="E177" s="1">
        <v>73</v>
      </c>
      <c r="F177" s="1">
        <v>26273</v>
      </c>
      <c r="G177" s="1">
        <v>323</v>
      </c>
      <c r="H177" s="2">
        <f>COVID_19_Coronavirus[[#This Row],[Total Deaths]]/COVID_19_Coronavirus[[#This Row],[Total Cases]]</f>
        <v>1.2279226240538267E-2</v>
      </c>
      <c r="I177" s="1">
        <f>COVID_19_Coronavirus[[#This Row],[Total Cases]]-COVID_19_Coronavirus[[#This Row],[Total Deaths]]</f>
        <v>5872</v>
      </c>
    </row>
    <row r="178" spans="1:9" x14ac:dyDescent="0.35">
      <c r="A178" t="s">
        <v>388</v>
      </c>
      <c r="B178" s="1">
        <v>35762746</v>
      </c>
      <c r="C178" t="s">
        <v>12</v>
      </c>
      <c r="D178" s="1">
        <v>751076</v>
      </c>
      <c r="E178" s="1">
        <v>9048</v>
      </c>
      <c r="F178" s="1">
        <v>21002</v>
      </c>
      <c r="G178" s="1">
        <v>253</v>
      </c>
      <c r="H178" s="2">
        <f>COVID_19_Coronavirus[[#This Row],[Total Deaths]]/COVID_19_Coronavirus[[#This Row],[Total Cases]]</f>
        <v>1.2046716976710746E-2</v>
      </c>
      <c r="I178" s="1">
        <f>COVID_19_Coronavirus[[#This Row],[Total Cases]]-COVID_19_Coronavirus[[#This Row],[Total Deaths]]</f>
        <v>742028</v>
      </c>
    </row>
    <row r="179" spans="1:9" x14ac:dyDescent="0.35">
      <c r="A179" t="s">
        <v>390</v>
      </c>
      <c r="B179" s="1">
        <v>17515750</v>
      </c>
      <c r="C179" t="s">
        <v>18</v>
      </c>
      <c r="D179" s="1">
        <v>85919</v>
      </c>
      <c r="E179" s="1">
        <v>1965</v>
      </c>
      <c r="F179" s="1">
        <v>4905</v>
      </c>
      <c r="G179" s="1">
        <v>112</v>
      </c>
      <c r="H179" s="2">
        <f>COVID_19_Coronavirus[[#This Row],[Total Deaths]]/COVID_19_Coronavirus[[#This Row],[Total Cases]]</f>
        <v>2.2870377914081867E-2</v>
      </c>
      <c r="I179" s="1">
        <f>COVID_19_Coronavirus[[#This Row],[Total Cases]]-COVID_19_Coronavirus[[#This Row],[Total Deaths]]</f>
        <v>83954</v>
      </c>
    </row>
    <row r="180" spans="1:9" x14ac:dyDescent="0.35">
      <c r="A180" t="s">
        <v>392</v>
      </c>
      <c r="B180" s="1">
        <v>8675762</v>
      </c>
      <c r="C180" t="s">
        <v>15</v>
      </c>
      <c r="D180" s="1">
        <v>1980722</v>
      </c>
      <c r="E180" s="1">
        <v>15825</v>
      </c>
      <c r="F180" s="1">
        <v>228305</v>
      </c>
      <c r="G180" s="1">
        <v>1824</v>
      </c>
      <c r="H180" s="2">
        <f>COVID_19_Coronavirus[[#This Row],[Total Deaths]]/COVID_19_Coronavirus[[#This Row],[Total Cases]]</f>
        <v>7.9895108955219361E-3</v>
      </c>
      <c r="I180" s="1">
        <f>COVID_19_Coronavirus[[#This Row],[Total Cases]]-COVID_19_Coronavirus[[#This Row],[Total Deaths]]</f>
        <v>1964897</v>
      </c>
    </row>
    <row r="181" spans="1:9" x14ac:dyDescent="0.35">
      <c r="A181" t="s">
        <v>394</v>
      </c>
      <c r="B181" s="1">
        <v>99413</v>
      </c>
      <c r="C181" t="s">
        <v>18</v>
      </c>
      <c r="D181" s="1">
        <v>40421</v>
      </c>
      <c r="E181" s="1">
        <v>164</v>
      </c>
      <c r="F181" s="1">
        <v>406597</v>
      </c>
      <c r="G181" s="1">
        <v>1650</v>
      </c>
      <c r="H181" s="2">
        <f>COVID_19_Coronavirus[[#This Row],[Total Deaths]]/COVID_19_Coronavirus[[#This Row],[Total Cases]]</f>
        <v>4.0572969496054032E-3</v>
      </c>
      <c r="I181" s="1">
        <f>COVID_19_Coronavirus[[#This Row],[Total Cases]]-COVID_19_Coronavirus[[#This Row],[Total Deaths]]</f>
        <v>40257</v>
      </c>
    </row>
    <row r="182" spans="1:9" x14ac:dyDescent="0.35">
      <c r="A182" t="s">
        <v>396</v>
      </c>
      <c r="B182" s="1">
        <v>8260822</v>
      </c>
      <c r="C182" t="s">
        <v>18</v>
      </c>
      <c r="D182" s="1">
        <v>7674</v>
      </c>
      <c r="E182" s="1">
        <v>125</v>
      </c>
      <c r="F182" s="1">
        <v>929</v>
      </c>
      <c r="G182" s="1">
        <v>15</v>
      </c>
      <c r="H182" s="2">
        <f>COVID_19_Coronavirus[[#This Row],[Total Deaths]]/COVID_19_Coronavirus[[#This Row],[Total Cases]]</f>
        <v>1.6288767266093303E-2</v>
      </c>
      <c r="I182" s="1">
        <f>COVID_19_Coronavirus[[#This Row],[Total Cases]]-COVID_19_Coronavirus[[#This Row],[Total Deaths]]</f>
        <v>7549</v>
      </c>
    </row>
    <row r="183" spans="1:9" x14ac:dyDescent="0.35">
      <c r="A183" t="s">
        <v>398</v>
      </c>
      <c r="B183" s="1">
        <v>5930887</v>
      </c>
      <c r="C183" t="s">
        <v>12</v>
      </c>
      <c r="D183" s="1">
        <v>1109744</v>
      </c>
      <c r="E183" s="1">
        <v>1276</v>
      </c>
      <c r="F183" s="1">
        <v>187113</v>
      </c>
      <c r="G183" s="1">
        <v>215</v>
      </c>
      <c r="H183" s="2">
        <f>COVID_19_Coronavirus[[#This Row],[Total Deaths]]/COVID_19_Coronavirus[[#This Row],[Total Cases]]</f>
        <v>1.1498147320463097E-3</v>
      </c>
      <c r="I183" s="1">
        <f>COVID_19_Coronavirus[[#This Row],[Total Cases]]-COVID_19_Coronavirus[[#This Row],[Total Deaths]]</f>
        <v>1108468</v>
      </c>
    </row>
    <row r="184" spans="1:9" x14ac:dyDescent="0.35">
      <c r="A184" t="s">
        <v>400</v>
      </c>
      <c r="B184" s="1">
        <v>43728</v>
      </c>
      <c r="C184" t="s">
        <v>25</v>
      </c>
      <c r="D184" s="1">
        <v>9766</v>
      </c>
      <c r="E184" s="1">
        <v>86</v>
      </c>
      <c r="F184" s="1">
        <v>223335</v>
      </c>
      <c r="G184" s="1">
        <v>1967</v>
      </c>
      <c r="H184" s="2">
        <f>COVID_19_Coronavirus[[#This Row],[Total Deaths]]/COVID_19_Coronavirus[[#This Row],[Total Cases]]</f>
        <v>8.8060618472250666E-3</v>
      </c>
      <c r="I184" s="1">
        <f>COVID_19_Coronavirus[[#This Row],[Total Cases]]-COVID_19_Coronavirus[[#This Row],[Total Deaths]]</f>
        <v>9680</v>
      </c>
    </row>
    <row r="185" spans="1:9" x14ac:dyDescent="0.35">
      <c r="A185" t="s">
        <v>402</v>
      </c>
      <c r="B185" s="1">
        <v>5464272</v>
      </c>
      <c r="C185" t="s">
        <v>15</v>
      </c>
      <c r="D185" s="1">
        <v>1725487</v>
      </c>
      <c r="E185" s="1">
        <v>19417</v>
      </c>
      <c r="F185" s="1">
        <v>315776</v>
      </c>
      <c r="G185" s="1">
        <v>3553</v>
      </c>
      <c r="H185" s="2">
        <f>COVID_19_Coronavirus[[#This Row],[Total Deaths]]/COVID_19_Coronavirus[[#This Row],[Total Cases]]</f>
        <v>1.1253054934635845E-2</v>
      </c>
      <c r="I185" s="1">
        <f>COVID_19_Coronavirus[[#This Row],[Total Cases]]-COVID_19_Coronavirus[[#This Row],[Total Deaths]]</f>
        <v>1706070</v>
      </c>
    </row>
    <row r="186" spans="1:9" x14ac:dyDescent="0.35">
      <c r="A186" t="s">
        <v>404</v>
      </c>
      <c r="B186" s="1">
        <v>2079438</v>
      </c>
      <c r="C186" t="s">
        <v>15</v>
      </c>
      <c r="D186" s="1">
        <v>973892</v>
      </c>
      <c r="E186" s="1">
        <v>6501</v>
      </c>
      <c r="F186" s="1">
        <v>468344</v>
      </c>
      <c r="G186" s="1">
        <v>3126</v>
      </c>
      <c r="H186" s="2">
        <f>COVID_19_Coronavirus[[#This Row],[Total Deaths]]/COVID_19_Coronavirus[[#This Row],[Total Cases]]</f>
        <v>6.6752781622602918E-3</v>
      </c>
      <c r="I186" s="1">
        <f>COVID_19_Coronavirus[[#This Row],[Total Cases]]-COVID_19_Coronavirus[[#This Row],[Total Deaths]]</f>
        <v>967391</v>
      </c>
    </row>
    <row r="187" spans="1:9" x14ac:dyDescent="0.35">
      <c r="A187" t="s">
        <v>406</v>
      </c>
      <c r="B187" s="1">
        <v>716351</v>
      </c>
      <c r="C187" t="s">
        <v>36</v>
      </c>
      <c r="D187" s="1">
        <v>11470</v>
      </c>
      <c r="E187" s="1">
        <v>133</v>
      </c>
      <c r="F187" s="1">
        <v>16012</v>
      </c>
      <c r="G187" s="1">
        <v>186</v>
      </c>
      <c r="H187" s="2">
        <f>COVID_19_Coronavirus[[#This Row],[Total Deaths]]/COVID_19_Coronavirus[[#This Row],[Total Cases]]</f>
        <v>1.1595466434176112E-2</v>
      </c>
      <c r="I187" s="1">
        <f>COVID_19_Coronavirus[[#This Row],[Total Cases]]-COVID_19_Coronavirus[[#This Row],[Total Deaths]]</f>
        <v>11337</v>
      </c>
    </row>
    <row r="188" spans="1:9" x14ac:dyDescent="0.35">
      <c r="A188" t="s">
        <v>408</v>
      </c>
      <c r="B188" s="1">
        <v>16668781</v>
      </c>
      <c r="C188" t="s">
        <v>18</v>
      </c>
      <c r="D188" s="1">
        <v>26400</v>
      </c>
      <c r="E188" s="1">
        <v>1348</v>
      </c>
      <c r="F188" s="1">
        <v>1584</v>
      </c>
      <c r="G188" s="1">
        <v>81</v>
      </c>
      <c r="H188" s="2">
        <f>COVID_19_Coronavirus[[#This Row],[Total Deaths]]/COVID_19_Coronavirus[[#This Row],[Total Cases]]</f>
        <v>5.1060606060606063E-2</v>
      </c>
      <c r="I188" s="1">
        <f>COVID_19_Coronavirus[[#This Row],[Total Cases]]-COVID_19_Coronavirus[[#This Row],[Total Deaths]]</f>
        <v>25052</v>
      </c>
    </row>
    <row r="189" spans="1:9" x14ac:dyDescent="0.35">
      <c r="A189" t="s">
        <v>410</v>
      </c>
      <c r="B189" s="1">
        <v>60617532</v>
      </c>
      <c r="C189" t="s">
        <v>18</v>
      </c>
      <c r="D189" s="1">
        <v>3722954</v>
      </c>
      <c r="E189" s="1">
        <v>100050</v>
      </c>
      <c r="F189" s="1">
        <v>61417</v>
      </c>
      <c r="G189" s="1">
        <v>1651</v>
      </c>
      <c r="H189" s="2">
        <f>COVID_19_Coronavirus[[#This Row],[Total Deaths]]/COVID_19_Coronavirus[[#This Row],[Total Cases]]</f>
        <v>2.6873821164591343E-2</v>
      </c>
      <c r="I189" s="1">
        <f>COVID_19_Coronavirus[[#This Row],[Total Cases]]-COVID_19_Coronavirus[[#This Row],[Total Deaths]]</f>
        <v>3622904</v>
      </c>
    </row>
    <row r="190" spans="1:9" x14ac:dyDescent="0.35">
      <c r="A190" t="s">
        <v>412</v>
      </c>
      <c r="B190" s="1">
        <v>11423439</v>
      </c>
      <c r="C190" t="s">
        <v>18</v>
      </c>
      <c r="D190" s="1">
        <v>17278</v>
      </c>
      <c r="E190" s="1">
        <v>138</v>
      </c>
      <c r="F190" s="1">
        <v>1513</v>
      </c>
      <c r="G190" s="1">
        <v>12</v>
      </c>
      <c r="H190" s="2">
        <f>COVID_19_Coronavirus[[#This Row],[Total Deaths]]/COVID_19_Coronavirus[[#This Row],[Total Cases]]</f>
        <v>7.9870355365204305E-3</v>
      </c>
      <c r="I190" s="1">
        <f>COVID_19_Coronavirus[[#This Row],[Total Cases]]-COVID_19_Coronavirus[[#This Row],[Total Deaths]]</f>
        <v>17140</v>
      </c>
    </row>
    <row r="191" spans="1:9" x14ac:dyDescent="0.35">
      <c r="A191" t="s">
        <v>414</v>
      </c>
      <c r="B191" s="1">
        <v>46786482</v>
      </c>
      <c r="C191" t="s">
        <v>15</v>
      </c>
      <c r="D191" s="1">
        <v>11551574</v>
      </c>
      <c r="E191" s="1">
        <v>102541</v>
      </c>
      <c r="F191" s="1">
        <v>246900</v>
      </c>
      <c r="G191" s="1">
        <v>2192</v>
      </c>
      <c r="H191" s="2">
        <f>COVID_19_Coronavirus[[#This Row],[Total Deaths]]/COVID_19_Coronavirus[[#This Row],[Total Cases]]</f>
        <v>8.8767989539780458E-3</v>
      </c>
      <c r="I191" s="1">
        <f>COVID_19_Coronavirus[[#This Row],[Total Cases]]-COVID_19_Coronavirus[[#This Row],[Total Deaths]]</f>
        <v>11449033</v>
      </c>
    </row>
    <row r="192" spans="1:9" x14ac:dyDescent="0.35">
      <c r="A192" t="s">
        <v>416</v>
      </c>
      <c r="B192" s="1">
        <v>21570428</v>
      </c>
      <c r="C192" t="s">
        <v>12</v>
      </c>
      <c r="D192" s="1">
        <v>661991</v>
      </c>
      <c r="E192" s="1">
        <v>16481</v>
      </c>
      <c r="F192" s="1">
        <v>30690</v>
      </c>
      <c r="G192" s="1">
        <v>764</v>
      </c>
      <c r="H192" s="2">
        <f>COVID_19_Coronavirus[[#This Row],[Total Deaths]]/COVID_19_Coronavirus[[#This Row],[Total Cases]]</f>
        <v>2.4896108859486007E-2</v>
      </c>
      <c r="I192" s="1">
        <f>COVID_19_Coronavirus[[#This Row],[Total Cases]]-COVID_19_Coronavirus[[#This Row],[Total Deaths]]</f>
        <v>645510</v>
      </c>
    </row>
    <row r="193" spans="1:9" x14ac:dyDescent="0.35">
      <c r="A193" t="s">
        <v>418</v>
      </c>
      <c r="B193" s="1">
        <v>9930</v>
      </c>
      <c r="C193" t="s">
        <v>25</v>
      </c>
      <c r="D193" s="1">
        <v>4150</v>
      </c>
      <c r="E193" s="1">
        <v>6</v>
      </c>
      <c r="F193" s="1">
        <v>417925</v>
      </c>
      <c r="G193" s="1">
        <v>604</v>
      </c>
      <c r="H193" s="2">
        <f>COVID_19_Coronavirus[[#This Row],[Total Deaths]]/COVID_19_Coronavirus[[#This Row],[Total Cases]]</f>
        <v>1.4457831325301205E-3</v>
      </c>
      <c r="I193" s="1">
        <f>COVID_19_Coronavirus[[#This Row],[Total Cases]]-COVID_19_Coronavirus[[#This Row],[Total Deaths]]</f>
        <v>4144</v>
      </c>
    </row>
    <row r="194" spans="1:9" x14ac:dyDescent="0.35">
      <c r="A194" t="s">
        <v>421</v>
      </c>
      <c r="B194" s="1">
        <v>111557</v>
      </c>
      <c r="C194" t="s">
        <v>25</v>
      </c>
      <c r="D194" s="1">
        <v>6746</v>
      </c>
      <c r="E194" s="1">
        <v>106</v>
      </c>
      <c r="F194" s="1">
        <v>60471</v>
      </c>
      <c r="G194" s="1">
        <v>950</v>
      </c>
      <c r="H194" s="2">
        <f>COVID_19_Coronavirus[[#This Row],[Total Deaths]]/COVID_19_Coronavirus[[#This Row],[Total Cases]]</f>
        <v>1.5713015120071155E-2</v>
      </c>
      <c r="I194" s="1">
        <f>COVID_19_Coronavirus[[#This Row],[Total Cases]]-COVID_19_Coronavirus[[#This Row],[Total Deaths]]</f>
        <v>6640</v>
      </c>
    </row>
    <row r="195" spans="1:9" x14ac:dyDescent="0.35">
      <c r="A195" t="s">
        <v>424</v>
      </c>
      <c r="B195" s="1">
        <v>45640385</v>
      </c>
      <c r="C195" t="s">
        <v>18</v>
      </c>
      <c r="D195" s="1">
        <v>61955</v>
      </c>
      <c r="E195" s="1">
        <v>4907</v>
      </c>
      <c r="F195" s="1">
        <v>1357</v>
      </c>
      <c r="G195" s="1">
        <v>108</v>
      </c>
      <c r="H195" s="2">
        <f>COVID_19_Coronavirus[[#This Row],[Total Deaths]]/COVID_19_Coronavirus[[#This Row],[Total Cases]]</f>
        <v>7.9202647082559918E-2</v>
      </c>
      <c r="I195" s="1">
        <f>COVID_19_Coronavirus[[#This Row],[Total Cases]]-COVID_19_Coronavirus[[#This Row],[Total Deaths]]</f>
        <v>57048</v>
      </c>
    </row>
    <row r="196" spans="1:9" x14ac:dyDescent="0.35">
      <c r="A196" t="s">
        <v>426</v>
      </c>
      <c r="B196" s="1">
        <v>595833</v>
      </c>
      <c r="C196" t="s">
        <v>25</v>
      </c>
      <c r="D196" s="1">
        <v>79232</v>
      </c>
      <c r="E196" s="1">
        <v>1325</v>
      </c>
      <c r="F196" s="1">
        <v>132977</v>
      </c>
      <c r="G196" s="1">
        <v>2224</v>
      </c>
      <c r="H196" s="2">
        <f>COVID_19_Coronavirus[[#This Row],[Total Deaths]]/COVID_19_Coronavirus[[#This Row],[Total Cases]]</f>
        <v>1.6723041195476573E-2</v>
      </c>
      <c r="I196" s="1">
        <f>COVID_19_Coronavirus[[#This Row],[Total Cases]]-COVID_19_Coronavirus[[#This Row],[Total Deaths]]</f>
        <v>77907</v>
      </c>
    </row>
    <row r="197" spans="1:9" x14ac:dyDescent="0.35">
      <c r="A197" t="s">
        <v>428</v>
      </c>
      <c r="B197" s="1">
        <v>10209507</v>
      </c>
      <c r="C197" t="s">
        <v>15</v>
      </c>
      <c r="D197" s="1">
        <v>2487852</v>
      </c>
      <c r="E197" s="1">
        <v>18331</v>
      </c>
      <c r="F197" s="1">
        <v>243680</v>
      </c>
      <c r="G197" s="1">
        <v>1795</v>
      </c>
      <c r="H197" s="2">
        <f>COVID_19_Coronavirus[[#This Row],[Total Deaths]]/COVID_19_Coronavirus[[#This Row],[Total Cases]]</f>
        <v>7.3682035748107201E-3</v>
      </c>
      <c r="I197" s="1">
        <f>COVID_19_Coronavirus[[#This Row],[Total Cases]]-COVID_19_Coronavirus[[#This Row],[Total Deaths]]</f>
        <v>2469521</v>
      </c>
    </row>
    <row r="198" spans="1:9" x14ac:dyDescent="0.35">
      <c r="A198" t="s">
        <v>430</v>
      </c>
      <c r="B198" s="1">
        <v>8765420</v>
      </c>
      <c r="C198" t="s">
        <v>15</v>
      </c>
      <c r="D198" s="1">
        <v>3490876</v>
      </c>
      <c r="E198" s="1">
        <v>13715</v>
      </c>
      <c r="F198" s="1">
        <v>398255</v>
      </c>
      <c r="G198" s="1">
        <v>1565</v>
      </c>
      <c r="H198" s="2">
        <f>COVID_19_Coronavirus[[#This Row],[Total Deaths]]/COVID_19_Coronavirus[[#This Row],[Total Cases]]</f>
        <v>3.9288132835425833E-3</v>
      </c>
      <c r="I198" s="1">
        <f>COVID_19_Coronavirus[[#This Row],[Total Cases]]-COVID_19_Coronavirus[[#This Row],[Total Deaths]]</f>
        <v>3477161</v>
      </c>
    </row>
    <row r="199" spans="1:9" x14ac:dyDescent="0.35">
      <c r="A199" t="s">
        <v>432</v>
      </c>
      <c r="B199" s="1">
        <v>18244381</v>
      </c>
      <c r="C199" t="s">
        <v>12</v>
      </c>
      <c r="D199" s="1">
        <v>55711</v>
      </c>
      <c r="E199" s="1">
        <v>3144</v>
      </c>
      <c r="F199" s="1">
        <v>3054</v>
      </c>
      <c r="G199" s="1">
        <v>172</v>
      </c>
      <c r="H199" s="2">
        <f>COVID_19_Coronavirus[[#This Row],[Total Deaths]]/COVID_19_Coronavirus[[#This Row],[Total Cases]]</f>
        <v>5.6434097395487423E-2</v>
      </c>
      <c r="I199" s="1">
        <f>COVID_19_Coronavirus[[#This Row],[Total Cases]]-COVID_19_Coronavirus[[#This Row],[Total Deaths]]</f>
        <v>52567</v>
      </c>
    </row>
    <row r="200" spans="1:9" x14ac:dyDescent="0.35">
      <c r="A200" t="s">
        <v>435</v>
      </c>
      <c r="B200" s="1">
        <v>23892241</v>
      </c>
      <c r="C200" t="s">
        <v>12</v>
      </c>
      <c r="D200" s="1">
        <v>24310</v>
      </c>
      <c r="E200" s="1">
        <v>853</v>
      </c>
      <c r="F200" s="1">
        <v>1017</v>
      </c>
      <c r="G200" s="1">
        <v>36</v>
      </c>
      <c r="H200" s="2">
        <f>COVID_19_Coronavirus[[#This Row],[Total Deaths]]/COVID_19_Coronavirus[[#This Row],[Total Cases]]</f>
        <v>3.5088440970793909E-2</v>
      </c>
      <c r="I200" s="1">
        <f>COVID_19_Coronavirus[[#This Row],[Total Cases]]-COVID_19_Coronavirus[[#This Row],[Total Deaths]]</f>
        <v>23457</v>
      </c>
    </row>
    <row r="201" spans="1:9" x14ac:dyDescent="0.35">
      <c r="A201" t="s">
        <v>438</v>
      </c>
      <c r="B201" s="1">
        <v>9912437</v>
      </c>
      <c r="C201" t="s">
        <v>12</v>
      </c>
      <c r="D201" s="1">
        <v>17388</v>
      </c>
      <c r="E201" s="1">
        <v>124</v>
      </c>
      <c r="F201" s="1">
        <v>1754</v>
      </c>
      <c r="G201" s="1">
        <v>13</v>
      </c>
      <c r="H201" s="2">
        <f>COVID_19_Coronavirus[[#This Row],[Total Deaths]]/COVID_19_Coronavirus[[#This Row],[Total Cases]]</f>
        <v>7.1313549574419143E-3</v>
      </c>
      <c r="I201" s="1">
        <f>COVID_19_Coronavirus[[#This Row],[Total Cases]]-COVID_19_Coronavirus[[#This Row],[Total Deaths]]</f>
        <v>17264</v>
      </c>
    </row>
    <row r="202" spans="1:9" x14ac:dyDescent="0.35">
      <c r="A202" t="s">
        <v>440</v>
      </c>
      <c r="B202" s="1">
        <v>62710097</v>
      </c>
      <c r="C202" t="s">
        <v>18</v>
      </c>
      <c r="D202" s="1">
        <v>33815</v>
      </c>
      <c r="E202" s="1">
        <v>800</v>
      </c>
      <c r="F202" s="1">
        <v>539</v>
      </c>
      <c r="G202" s="1">
        <v>13</v>
      </c>
      <c r="H202" s="2">
        <f>COVID_19_Coronavirus[[#This Row],[Total Deaths]]/COVID_19_Coronavirus[[#This Row],[Total Cases]]</f>
        <v>2.3658139878752035E-2</v>
      </c>
      <c r="I202" s="1">
        <f>COVID_19_Coronavirus[[#This Row],[Total Cases]]-COVID_19_Coronavirus[[#This Row],[Total Deaths]]</f>
        <v>33015</v>
      </c>
    </row>
    <row r="203" spans="1:9" x14ac:dyDescent="0.35">
      <c r="A203" t="s">
        <v>443</v>
      </c>
      <c r="B203" s="1">
        <v>70106601</v>
      </c>
      <c r="C203" t="s">
        <v>12</v>
      </c>
      <c r="D203" s="1">
        <v>3711595</v>
      </c>
      <c r="E203" s="1">
        <v>25418</v>
      </c>
      <c r="F203" s="1">
        <v>52942</v>
      </c>
      <c r="G203" s="1">
        <v>363</v>
      </c>
      <c r="H203" s="2">
        <f>COVID_19_Coronavirus[[#This Row],[Total Deaths]]/COVID_19_Coronavirus[[#This Row],[Total Cases]]</f>
        <v>6.8482687362171786E-3</v>
      </c>
      <c r="I203" s="1">
        <f>COVID_19_Coronavirus[[#This Row],[Total Cases]]-COVID_19_Coronavirus[[#This Row],[Total Deaths]]</f>
        <v>3686177</v>
      </c>
    </row>
    <row r="204" spans="1:9" x14ac:dyDescent="0.35">
      <c r="A204" t="s">
        <v>445</v>
      </c>
      <c r="B204" s="1">
        <v>1362386</v>
      </c>
      <c r="C204" t="s">
        <v>12</v>
      </c>
      <c r="D204" s="1">
        <v>22832</v>
      </c>
      <c r="E204" s="1">
        <v>130</v>
      </c>
      <c r="F204" s="1">
        <v>16759</v>
      </c>
      <c r="G204" s="1">
        <v>95</v>
      </c>
      <c r="H204" s="2">
        <f>COVID_19_Coronavirus[[#This Row],[Total Deaths]]/COVID_19_Coronavirus[[#This Row],[Total Cases]]</f>
        <v>5.6937631394533986E-3</v>
      </c>
      <c r="I204" s="1">
        <f>COVID_19_Coronavirus[[#This Row],[Total Cases]]-COVID_19_Coronavirus[[#This Row],[Total Deaths]]</f>
        <v>22702</v>
      </c>
    </row>
    <row r="205" spans="1:9" x14ac:dyDescent="0.35">
      <c r="A205" t="s">
        <v>447</v>
      </c>
      <c r="B205" s="1">
        <v>8618172</v>
      </c>
      <c r="C205" t="s">
        <v>18</v>
      </c>
      <c r="D205" s="1">
        <v>36944</v>
      </c>
      <c r="E205" s="1">
        <v>272</v>
      </c>
      <c r="F205" s="1">
        <v>4287</v>
      </c>
      <c r="G205" s="1">
        <v>32</v>
      </c>
      <c r="H205" s="2">
        <f>COVID_19_Coronavirus[[#This Row],[Total Deaths]]/COVID_19_Coronavirus[[#This Row],[Total Cases]]</f>
        <v>7.3624945864010395E-3</v>
      </c>
      <c r="I205" s="1">
        <f>COVID_19_Coronavirus[[#This Row],[Total Cases]]-COVID_19_Coronavirus[[#This Row],[Total Deaths]]</f>
        <v>36672</v>
      </c>
    </row>
    <row r="206" spans="1:9" x14ac:dyDescent="0.35">
      <c r="A206" t="s">
        <v>449</v>
      </c>
      <c r="B206" s="1">
        <v>107792</v>
      </c>
      <c r="C206" t="s">
        <v>36</v>
      </c>
      <c r="D206" s="1">
        <v>7127</v>
      </c>
      <c r="E206" s="1">
        <v>9</v>
      </c>
      <c r="F206" s="1">
        <v>66118</v>
      </c>
      <c r="G206" s="1">
        <v>83</v>
      </c>
      <c r="H206" s="2">
        <f>COVID_19_Coronavirus[[#This Row],[Total Deaths]]/COVID_19_Coronavirus[[#This Row],[Total Cases]]</f>
        <v>1.2628034236003929E-3</v>
      </c>
      <c r="I206" s="1">
        <f>COVID_19_Coronavirus[[#This Row],[Total Cases]]-COVID_19_Coronavirus[[#This Row],[Total Deaths]]</f>
        <v>7118</v>
      </c>
    </row>
    <row r="207" spans="1:9" x14ac:dyDescent="0.35">
      <c r="A207" t="s">
        <v>451</v>
      </c>
      <c r="B207" s="1">
        <v>1407422</v>
      </c>
      <c r="C207" t="s">
        <v>25</v>
      </c>
      <c r="D207" s="1">
        <v>138425</v>
      </c>
      <c r="E207" s="1">
        <v>3756</v>
      </c>
      <c r="F207" s="1">
        <v>98354</v>
      </c>
      <c r="G207" s="1">
        <v>2669</v>
      </c>
      <c r="H207" s="2">
        <f>COVID_19_Coronavirus[[#This Row],[Total Deaths]]/COVID_19_Coronavirus[[#This Row],[Total Cases]]</f>
        <v>2.7133826982120281E-2</v>
      </c>
      <c r="I207" s="1">
        <f>COVID_19_Coronavirus[[#This Row],[Total Cases]]-COVID_19_Coronavirus[[#This Row],[Total Deaths]]</f>
        <v>134669</v>
      </c>
    </row>
    <row r="208" spans="1:9" x14ac:dyDescent="0.35">
      <c r="A208" t="s">
        <v>453</v>
      </c>
      <c r="B208" s="1">
        <v>12035092</v>
      </c>
      <c r="C208" t="s">
        <v>18</v>
      </c>
      <c r="D208" s="1">
        <v>1035884</v>
      </c>
      <c r="E208" s="1">
        <v>28323</v>
      </c>
      <c r="F208" s="1">
        <v>86072</v>
      </c>
      <c r="G208" s="1">
        <v>2353</v>
      </c>
      <c r="H208" s="2">
        <f>COVID_19_Coronavirus[[#This Row],[Total Deaths]]/COVID_19_Coronavirus[[#This Row],[Total Cases]]</f>
        <v>2.7341864533094441E-2</v>
      </c>
      <c r="I208" s="1">
        <f>COVID_19_Coronavirus[[#This Row],[Total Cases]]-COVID_19_Coronavirus[[#This Row],[Total Deaths]]</f>
        <v>1007561</v>
      </c>
    </row>
    <row r="209" spans="1:9" x14ac:dyDescent="0.35">
      <c r="A209" t="s">
        <v>455</v>
      </c>
      <c r="B209" s="1">
        <v>85927644</v>
      </c>
      <c r="C209" t="s">
        <v>12</v>
      </c>
      <c r="D209" s="1">
        <v>14894731</v>
      </c>
      <c r="E209" s="1">
        <v>98157</v>
      </c>
      <c r="F209" s="1">
        <v>173340</v>
      </c>
      <c r="G209" s="1">
        <v>1142</v>
      </c>
      <c r="H209" s="2">
        <f>COVID_19_Coronavirus[[#This Row],[Total Deaths]]/COVID_19_Coronavirus[[#This Row],[Total Cases]]</f>
        <v>6.5900485211851092E-3</v>
      </c>
      <c r="I209" s="1">
        <f>COVID_19_Coronavirus[[#This Row],[Total Cases]]-COVID_19_Coronavirus[[#This Row],[Total Deaths]]</f>
        <v>14796574</v>
      </c>
    </row>
    <row r="210" spans="1:9" x14ac:dyDescent="0.35">
      <c r="A210" t="s">
        <v>457</v>
      </c>
      <c r="B210" s="1">
        <v>39634</v>
      </c>
      <c r="C210" t="s">
        <v>25</v>
      </c>
      <c r="D210" s="1">
        <v>5910</v>
      </c>
      <c r="E210" s="1">
        <v>36</v>
      </c>
      <c r="F210" s="1">
        <v>149114</v>
      </c>
      <c r="G210" s="1">
        <v>908</v>
      </c>
      <c r="H210" s="2">
        <f>COVID_19_Coronavirus[[#This Row],[Total Deaths]]/COVID_19_Coronavirus[[#This Row],[Total Cases]]</f>
        <v>6.0913705583756344E-3</v>
      </c>
      <c r="I210" s="1">
        <f>COVID_19_Coronavirus[[#This Row],[Total Cases]]-COVID_19_Coronavirus[[#This Row],[Total Deaths]]</f>
        <v>5874</v>
      </c>
    </row>
    <row r="211" spans="1:9" x14ac:dyDescent="0.35">
      <c r="A211" t="s">
        <v>502</v>
      </c>
      <c r="B211" s="1">
        <v>10099567</v>
      </c>
      <c r="C211" t="s">
        <v>12</v>
      </c>
      <c r="D211" s="1">
        <v>892170</v>
      </c>
      <c r="E211" s="1">
        <v>2302</v>
      </c>
      <c r="F211" s="1">
        <v>88337</v>
      </c>
      <c r="G211" s="1">
        <v>228</v>
      </c>
      <c r="H211" s="2">
        <f>COVID_19_Coronavirus[[#This Row],[Total Deaths]]/COVID_19_Coronavirus[[#This Row],[Total Cases]]</f>
        <v>2.5802257417308363E-3</v>
      </c>
      <c r="I211" s="1">
        <f>COVID_19_Coronavirus[[#This Row],[Total Cases]]-COVID_19_Coronavirus[[#This Row],[Total Deaths]]</f>
        <v>889868</v>
      </c>
    </row>
    <row r="212" spans="1:9" x14ac:dyDescent="0.35">
      <c r="A212" t="s">
        <v>462</v>
      </c>
      <c r="B212" s="1">
        <v>48267221</v>
      </c>
      <c r="C212" t="s">
        <v>18</v>
      </c>
      <c r="D212" s="1">
        <v>163936</v>
      </c>
      <c r="E212" s="1">
        <v>3595</v>
      </c>
      <c r="F212" s="1">
        <v>3396</v>
      </c>
      <c r="G212" s="1">
        <v>74</v>
      </c>
      <c r="H212" s="2">
        <f>COVID_19_Coronavirus[[#This Row],[Total Deaths]]/COVID_19_Coronavirus[[#This Row],[Total Cases]]</f>
        <v>2.1929289478821005E-2</v>
      </c>
      <c r="I212" s="1">
        <f>COVID_19_Coronavirus[[#This Row],[Total Cases]]-COVID_19_Coronavirus[[#This Row],[Total Deaths]]</f>
        <v>160341</v>
      </c>
    </row>
    <row r="213" spans="1:9" x14ac:dyDescent="0.35">
      <c r="A213" t="s">
        <v>501</v>
      </c>
      <c r="B213" s="1">
        <v>68510300</v>
      </c>
      <c r="C213" t="s">
        <v>15</v>
      </c>
      <c r="D213" s="1">
        <v>21216874</v>
      </c>
      <c r="E213" s="1">
        <v>165570</v>
      </c>
      <c r="F213" s="1">
        <v>309689</v>
      </c>
      <c r="G213" s="1">
        <v>2417</v>
      </c>
      <c r="H213" s="2">
        <f>COVID_19_Coronavirus[[#This Row],[Total Deaths]]/COVID_19_Coronavirus[[#This Row],[Total Cases]]</f>
        <v>7.8036943613842454E-3</v>
      </c>
      <c r="I213" s="1">
        <f>COVID_19_Coronavirus[[#This Row],[Total Cases]]-COVID_19_Coronavirus[[#This Row],[Total Deaths]]</f>
        <v>21051304</v>
      </c>
    </row>
    <row r="214" spans="1:9" x14ac:dyDescent="0.35">
      <c r="A214" t="s">
        <v>466</v>
      </c>
      <c r="B214" s="1">
        <v>43273831</v>
      </c>
      <c r="C214" t="s">
        <v>15</v>
      </c>
      <c r="D214" s="1">
        <v>4968881</v>
      </c>
      <c r="E214" s="1">
        <v>107980</v>
      </c>
      <c r="F214" s="1">
        <v>114824</v>
      </c>
      <c r="G214" s="1">
        <v>2495</v>
      </c>
      <c r="H214" s="2">
        <f>COVID_19_Coronavirus[[#This Row],[Total Deaths]]/COVID_19_Coronavirus[[#This Row],[Total Cases]]</f>
        <v>2.1731250959723124E-2</v>
      </c>
      <c r="I214" s="1">
        <f>COVID_19_Coronavirus[[#This Row],[Total Cases]]-COVID_19_Coronavirus[[#This Row],[Total Deaths]]</f>
        <v>4860901</v>
      </c>
    </row>
    <row r="215" spans="1:9" x14ac:dyDescent="0.35">
      <c r="A215" t="s">
        <v>468</v>
      </c>
      <c r="B215" s="1">
        <v>3494806</v>
      </c>
      <c r="C215" t="s">
        <v>25</v>
      </c>
      <c r="D215" s="1">
        <v>889513</v>
      </c>
      <c r="E215" s="1">
        <v>7166</v>
      </c>
      <c r="F215" s="1">
        <v>254524</v>
      </c>
      <c r="G215" s="1">
        <v>2050</v>
      </c>
      <c r="H215" s="2">
        <f>COVID_19_Coronavirus[[#This Row],[Total Deaths]]/COVID_19_Coronavirus[[#This Row],[Total Cases]]</f>
        <v>8.0560936152703783E-3</v>
      </c>
      <c r="I215" s="1">
        <f>COVID_19_Coronavirus[[#This Row],[Total Cases]]-COVID_19_Coronavirus[[#This Row],[Total Deaths]]</f>
        <v>882347</v>
      </c>
    </row>
    <row r="216" spans="1:9" x14ac:dyDescent="0.35">
      <c r="A216" t="s">
        <v>470</v>
      </c>
      <c r="B216" s="1">
        <v>334400597</v>
      </c>
      <c r="C216" t="s">
        <v>59</v>
      </c>
      <c r="D216" s="1">
        <v>81839052</v>
      </c>
      <c r="E216" s="1">
        <v>1008222</v>
      </c>
      <c r="F216" s="1">
        <v>244734</v>
      </c>
      <c r="G216" s="1">
        <v>3015</v>
      </c>
      <c r="H216" s="2">
        <f>COVID_19_Coronavirus[[#This Row],[Total Deaths]]/COVID_19_Coronavirus[[#This Row],[Total Cases]]</f>
        <v>1.2319570857199079E-2</v>
      </c>
      <c r="I216" s="1">
        <f>COVID_19_Coronavirus[[#This Row],[Total Cases]]-COVID_19_Coronavirus[[#This Row],[Total Deaths]]</f>
        <v>80830830</v>
      </c>
    </row>
    <row r="217" spans="1:9" x14ac:dyDescent="0.35">
      <c r="A217" t="s">
        <v>472</v>
      </c>
      <c r="B217" s="1">
        <v>34318156</v>
      </c>
      <c r="C217" t="s">
        <v>12</v>
      </c>
      <c r="D217" s="1">
        <v>237853</v>
      </c>
      <c r="E217" s="1">
        <v>1637</v>
      </c>
      <c r="F217" s="1">
        <v>6931</v>
      </c>
      <c r="G217" s="1">
        <v>48</v>
      </c>
      <c r="H217" s="2">
        <f>COVID_19_Coronavirus[[#This Row],[Total Deaths]]/COVID_19_Coronavirus[[#This Row],[Total Cases]]</f>
        <v>6.8824021559534673E-3</v>
      </c>
      <c r="I217" s="1">
        <f>COVID_19_Coronavirus[[#This Row],[Total Cases]]-COVID_19_Coronavirus[[#This Row],[Total Deaths]]</f>
        <v>236216</v>
      </c>
    </row>
    <row r="218" spans="1:9" x14ac:dyDescent="0.35">
      <c r="A218" t="s">
        <v>474</v>
      </c>
      <c r="B218" s="1">
        <v>319701</v>
      </c>
      <c r="C218" t="s">
        <v>36</v>
      </c>
      <c r="D218" s="1">
        <v>4107</v>
      </c>
      <c r="E218" s="1">
        <v>2</v>
      </c>
      <c r="F218" s="1">
        <v>12846</v>
      </c>
      <c r="G218" s="1">
        <v>6</v>
      </c>
      <c r="H218" s="2">
        <f>COVID_19_Coronavirus[[#This Row],[Total Deaths]]/COVID_19_Coronavirus[[#This Row],[Total Cases]]</f>
        <v>4.8697345994643291E-4</v>
      </c>
      <c r="I218" s="1">
        <f>COVID_19_Coronavirus[[#This Row],[Total Cases]]-COVID_19_Coronavirus[[#This Row],[Total Deaths]]</f>
        <v>4105</v>
      </c>
    </row>
    <row r="219" spans="1:9" x14ac:dyDescent="0.35">
      <c r="A219" t="s">
        <v>476</v>
      </c>
      <c r="B219" s="1">
        <v>805</v>
      </c>
      <c r="C219" t="s">
        <v>15</v>
      </c>
      <c r="D219" s="1">
        <v>29</v>
      </c>
      <c r="E219" s="1">
        <v>0</v>
      </c>
      <c r="F219" s="1">
        <v>36025</v>
      </c>
      <c r="G219" s="1">
        <v>0</v>
      </c>
      <c r="H219" s="2">
        <f>COVID_19_Coronavirus[[#This Row],[Total Deaths]]/COVID_19_Coronavirus[[#This Row],[Total Cases]]</f>
        <v>0</v>
      </c>
      <c r="I219" s="1">
        <f>COVID_19_Coronavirus[[#This Row],[Total Cases]]-COVID_19_Coronavirus[[#This Row],[Total Deaths]]</f>
        <v>29</v>
      </c>
    </row>
    <row r="220" spans="1:9" x14ac:dyDescent="0.35">
      <c r="A220" t="s">
        <v>479</v>
      </c>
      <c r="B220" s="1">
        <v>28294895</v>
      </c>
      <c r="C220" t="s">
        <v>25</v>
      </c>
      <c r="D220" s="1">
        <v>520843</v>
      </c>
      <c r="E220" s="1">
        <v>5686</v>
      </c>
      <c r="F220" s="1">
        <v>18408</v>
      </c>
      <c r="G220" s="1">
        <v>201</v>
      </c>
      <c r="H220" s="2">
        <f>COVID_19_Coronavirus[[#This Row],[Total Deaths]]/COVID_19_Coronavirus[[#This Row],[Total Cases]]</f>
        <v>1.091691738201339E-2</v>
      </c>
      <c r="I220" s="1">
        <f>COVID_19_Coronavirus[[#This Row],[Total Cases]]-COVID_19_Coronavirus[[#This Row],[Total Deaths]]</f>
        <v>515157</v>
      </c>
    </row>
    <row r="221" spans="1:9" x14ac:dyDescent="0.35">
      <c r="A221" t="s">
        <v>482</v>
      </c>
      <c r="B221" s="1">
        <v>98871712</v>
      </c>
      <c r="C221" t="s">
        <v>12</v>
      </c>
      <c r="D221" s="1">
        <v>9818328</v>
      </c>
      <c r="E221" s="1">
        <v>42600</v>
      </c>
      <c r="F221" s="1">
        <v>99304</v>
      </c>
      <c r="G221" s="1">
        <v>431</v>
      </c>
      <c r="H221" s="2">
        <f>COVID_19_Coronavirus[[#This Row],[Total Deaths]]/COVID_19_Coronavirus[[#This Row],[Total Cases]]</f>
        <v>4.3388242886161473E-3</v>
      </c>
      <c r="I221" s="1">
        <f>COVID_19_Coronavirus[[#This Row],[Total Cases]]-COVID_19_Coronavirus[[#This Row],[Total Deaths]]</f>
        <v>9775728</v>
      </c>
    </row>
    <row r="222" spans="1:9" x14ac:dyDescent="0.35">
      <c r="A222" t="s">
        <v>485</v>
      </c>
      <c r="B222" s="1">
        <v>10894</v>
      </c>
      <c r="C222" t="s">
        <v>36</v>
      </c>
      <c r="D222" s="1">
        <v>454</v>
      </c>
      <c r="E222" s="1">
        <v>7</v>
      </c>
      <c r="F222" s="1">
        <v>41674</v>
      </c>
      <c r="G222" s="1">
        <v>643</v>
      </c>
      <c r="H222" s="2">
        <f>COVID_19_Coronavirus[[#This Row],[Total Deaths]]/COVID_19_Coronavirus[[#This Row],[Total Cases]]</f>
        <v>1.5418502202643172E-2</v>
      </c>
      <c r="I222" s="1">
        <f>COVID_19_Coronavirus[[#This Row],[Total Cases]]-COVID_19_Coronavirus[[#This Row],[Total Deaths]]</f>
        <v>447</v>
      </c>
    </row>
    <row r="223" spans="1:9" x14ac:dyDescent="0.35">
      <c r="A223" t="s">
        <v>488</v>
      </c>
      <c r="B223" s="1">
        <v>623031</v>
      </c>
      <c r="C223" t="s">
        <v>18</v>
      </c>
      <c r="D223" s="1">
        <v>10</v>
      </c>
      <c r="E223" s="1">
        <v>1</v>
      </c>
      <c r="F223" s="1">
        <v>16</v>
      </c>
      <c r="G223" s="1">
        <v>2</v>
      </c>
      <c r="H223" s="2">
        <f>COVID_19_Coronavirus[[#This Row],[Total Deaths]]/COVID_19_Coronavirus[[#This Row],[Total Cases]]</f>
        <v>0.1</v>
      </c>
      <c r="I223" s="1">
        <f>COVID_19_Coronavirus[[#This Row],[Total Cases]]-COVID_19_Coronavirus[[#This Row],[Total Deaths]]</f>
        <v>9</v>
      </c>
    </row>
    <row r="224" spans="1:9" x14ac:dyDescent="0.35">
      <c r="A224" t="s">
        <v>490</v>
      </c>
      <c r="B224" s="1">
        <v>30975258</v>
      </c>
      <c r="C224" t="s">
        <v>12</v>
      </c>
      <c r="D224" s="1">
        <v>11806</v>
      </c>
      <c r="E224" s="1">
        <v>2143</v>
      </c>
      <c r="F224" s="1">
        <v>381</v>
      </c>
      <c r="G224" s="1">
        <v>69</v>
      </c>
      <c r="H224" s="2">
        <f>COVID_19_Coronavirus[[#This Row],[Total Deaths]]/COVID_19_Coronavirus[[#This Row],[Total Cases]]</f>
        <v>0.18151787226833813</v>
      </c>
      <c r="I224" s="1">
        <f>COVID_19_Coronavirus[[#This Row],[Total Cases]]-COVID_19_Coronavirus[[#This Row],[Total Deaths]]</f>
        <v>9663</v>
      </c>
    </row>
    <row r="225" spans="1:9" x14ac:dyDescent="0.35">
      <c r="A225" t="s">
        <v>492</v>
      </c>
      <c r="B225" s="1">
        <v>19284482</v>
      </c>
      <c r="C225" t="s">
        <v>18</v>
      </c>
      <c r="D225" s="1">
        <v>317076</v>
      </c>
      <c r="E225" s="1">
        <v>3967</v>
      </c>
      <c r="F225" s="1">
        <v>16442</v>
      </c>
      <c r="G225" s="1">
        <v>206</v>
      </c>
      <c r="H225" s="2">
        <f>COVID_19_Coronavirus[[#This Row],[Total Deaths]]/COVID_19_Coronavirus[[#This Row],[Total Cases]]</f>
        <v>1.2511196053942903E-2</v>
      </c>
      <c r="I225" s="1">
        <f>COVID_19_Coronavirus[[#This Row],[Total Cases]]-COVID_19_Coronavirus[[#This Row],[Total Deaths]]</f>
        <v>313109</v>
      </c>
    </row>
    <row r="226" spans="1:9" x14ac:dyDescent="0.35">
      <c r="A226" t="s">
        <v>494</v>
      </c>
      <c r="B226" s="1">
        <v>15241601</v>
      </c>
      <c r="C226" t="s">
        <v>18</v>
      </c>
      <c r="D226" s="1">
        <v>246525</v>
      </c>
      <c r="E226" s="1">
        <v>5446</v>
      </c>
      <c r="F226" s="1">
        <v>16174</v>
      </c>
      <c r="G226" s="1">
        <v>357</v>
      </c>
      <c r="H226" s="2">
        <f>COVID_19_Coronavirus[[#This Row],[Total Deaths]]/COVID_19_Coronavirus[[#This Row],[Total Cases]]</f>
        <v>2.2091065814826082E-2</v>
      </c>
      <c r="I226" s="1">
        <f>COVID_19_Coronavirus[[#This Row],[Total Cases]]-COVID_19_Coronavirus[[#This Row],[Total Deaths]]</f>
        <v>241079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4C13B-8439-424B-9AAB-BF7D2AB74E36}">
  <dimension ref="A1:BY1397"/>
  <sheetViews>
    <sheetView showGridLines="0" tabSelected="1" zoomScale="61" zoomScaleNormal="75" workbookViewId="0">
      <selection activeCell="E3" sqref="E3"/>
    </sheetView>
  </sheetViews>
  <sheetFormatPr defaultRowHeight="14.5" x14ac:dyDescent="0.35"/>
  <cols>
    <col min="1" max="1" width="10.1796875" customWidth="1"/>
    <col min="2" max="2" width="12.81640625" customWidth="1"/>
    <col min="3" max="3" width="12" customWidth="1"/>
    <col min="4" max="4" width="12.453125" customWidth="1"/>
    <col min="5" max="5" width="13.453125" customWidth="1"/>
    <col min="6" max="6" width="12.54296875" customWidth="1"/>
    <col min="7" max="7" width="12.81640625" customWidth="1"/>
    <col min="8" max="9" width="12" customWidth="1"/>
  </cols>
  <sheetData>
    <row r="1" spans="1:77" x14ac:dyDescent="0.3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row>
    <row r="2" spans="1:77" x14ac:dyDescent="0.35">
      <c r="A2" s="8"/>
      <c r="B2" s="8"/>
      <c r="C2" s="8"/>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row>
    <row r="3" spans="1:77" x14ac:dyDescent="0.35">
      <c r="A3" s="8"/>
      <c r="B3" s="8"/>
      <c r="C3" s="8"/>
      <c r="D3" s="9"/>
      <c r="E3" s="9"/>
      <c r="F3" s="8"/>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row>
    <row r="4" spans="1:77" x14ac:dyDescent="0.35">
      <c r="A4" s="8"/>
      <c r="B4" s="8"/>
      <c r="C4" s="8"/>
      <c r="D4" s="9"/>
      <c r="E4" s="9"/>
      <c r="F4" s="8"/>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row>
    <row r="5" spans="1:77" x14ac:dyDescent="0.35">
      <c r="A5" s="8"/>
      <c r="B5" s="8"/>
      <c r="C5" s="8"/>
      <c r="D5" s="8"/>
      <c r="E5" s="8"/>
      <c r="F5" s="8"/>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row>
    <row r="6" spans="1:77" x14ac:dyDescent="0.35">
      <c r="A6" s="8"/>
      <c r="B6" s="8"/>
      <c r="C6" s="8"/>
      <c r="D6" s="8"/>
      <c r="E6" s="10"/>
      <c r="F6" s="8"/>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row>
    <row r="7" spans="1:77" x14ac:dyDescent="0.35">
      <c r="A7" s="8"/>
      <c r="B7" s="8"/>
      <c r="C7" s="8"/>
      <c r="D7" s="9"/>
      <c r="E7" s="9"/>
      <c r="F7" s="8"/>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row>
    <row r="8" spans="1:77" x14ac:dyDescent="0.35">
      <c r="A8" s="8"/>
      <c r="B8" s="8"/>
      <c r="C8" s="8"/>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row>
    <row r="9" spans="1:77"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row>
    <row r="10" spans="1:77"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row>
    <row r="11" spans="1:77"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row>
    <row r="12" spans="1:77"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row>
    <row r="13" spans="1:77"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row>
    <row r="14" spans="1:77"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row>
    <row r="15" spans="1:77"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row>
    <row r="16" spans="1:77"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row>
    <row r="17" spans="1:77"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row>
    <row r="18" spans="1:77"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row>
    <row r="19" spans="1:77"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row>
    <row r="20" spans="1:77"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row>
    <row r="21" spans="1:77"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row>
    <row r="22" spans="1:77"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row>
    <row r="23" spans="1:77"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row>
    <row r="24" spans="1:77"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row>
    <row r="25" spans="1:77"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row>
    <row r="26" spans="1:77"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row>
    <row r="27" spans="1:77"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row>
    <row r="28" spans="1:77"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row>
    <row r="29" spans="1:77"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row>
    <row r="30" spans="1:77"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row>
    <row r="31" spans="1:77"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row>
    <row r="32" spans="1:77"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row>
    <row r="33" spans="1:77"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row>
    <row r="34" spans="1:77"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row>
    <row r="35" spans="1:77"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row>
    <row r="36" spans="1:77"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row>
    <row r="37" spans="1:77"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row>
    <row r="38" spans="1:77"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row>
    <row r="39" spans="1:77"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row>
    <row r="40" spans="1:77"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row>
    <row r="41" spans="1:77"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row>
    <row r="42" spans="1:77"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row>
    <row r="43" spans="1:77"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row>
    <row r="44" spans="1:77"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row>
    <row r="45" spans="1:77"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row>
    <row r="46" spans="1:77"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row>
    <row r="47" spans="1:77"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row>
    <row r="48" spans="1:77"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row>
    <row r="49" spans="1:77"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row>
    <row r="50" spans="1:77"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row>
    <row r="51" spans="1:77"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row>
    <row r="52" spans="1:77"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row>
    <row r="53" spans="1:77"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row>
    <row r="54" spans="1:77"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row>
    <row r="55" spans="1:77"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row>
    <row r="56" spans="1:77"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row>
    <row r="57" spans="1:77"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row>
    <row r="58" spans="1:77"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row>
    <row r="59" spans="1:77"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row>
    <row r="60" spans="1:77"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row>
    <row r="61" spans="1:77"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row>
    <row r="62" spans="1:77"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row>
    <row r="63" spans="1:77"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row>
    <row r="64" spans="1:77"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row>
    <row r="65" spans="1:77"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row>
    <row r="66" spans="1:77"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row>
    <row r="67" spans="1:77"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row>
    <row r="68" spans="1:77"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row>
    <row r="69" spans="1:77"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row>
    <row r="70" spans="1:77"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row>
    <row r="71" spans="1:77"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row>
    <row r="72" spans="1:77"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row>
    <row r="73" spans="1:77"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row>
    <row r="74" spans="1:77"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row>
    <row r="75" spans="1:77"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row>
    <row r="76" spans="1:77"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row>
    <row r="77" spans="1:77"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row>
    <row r="78" spans="1:77"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row>
    <row r="79" spans="1:77"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row>
    <row r="80" spans="1:77"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row>
    <row r="81" spans="1:77"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row>
    <row r="82" spans="1:77" x14ac:dyDescent="0.3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row>
    <row r="83" spans="1:77" x14ac:dyDescent="0.3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row>
    <row r="84" spans="1:77" x14ac:dyDescent="0.3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row>
    <row r="85" spans="1:77" x14ac:dyDescent="0.3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row>
    <row r="86" spans="1:77" x14ac:dyDescent="0.3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row>
    <row r="87" spans="1:77" x14ac:dyDescent="0.3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row>
    <row r="88" spans="1:77" x14ac:dyDescent="0.3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row>
    <row r="89" spans="1:77" x14ac:dyDescent="0.3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row>
    <row r="90" spans="1:77" x14ac:dyDescent="0.3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row>
    <row r="91" spans="1:77" x14ac:dyDescent="0.3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row>
    <row r="92" spans="1:77" x14ac:dyDescent="0.3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row>
    <row r="93" spans="1:77" x14ac:dyDescent="0.3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row>
    <row r="94" spans="1:77" x14ac:dyDescent="0.3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row>
    <row r="95" spans="1:77" x14ac:dyDescent="0.3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row>
    <row r="96" spans="1:77" x14ac:dyDescent="0.3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row>
    <row r="97" spans="1:77" x14ac:dyDescent="0.3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row>
    <row r="98" spans="1:77" x14ac:dyDescent="0.3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row>
    <row r="99" spans="1:77" x14ac:dyDescent="0.3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row>
    <row r="100" spans="1:77"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row>
    <row r="101" spans="1:77"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row>
    <row r="102" spans="1:77"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row>
    <row r="103" spans="1:77"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row>
    <row r="104" spans="1:77"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row>
    <row r="105" spans="1:77"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row>
    <row r="106" spans="1:77"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row>
    <row r="107" spans="1:77"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row>
    <row r="108" spans="1:77"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row>
    <row r="109" spans="1:77"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row>
    <row r="110" spans="1:77"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row>
    <row r="111" spans="1:77"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row>
    <row r="112" spans="1:77"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row>
    <row r="113" spans="1:77"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row>
    <row r="114" spans="1:77"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row>
    <row r="115" spans="1:77"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row>
    <row r="116" spans="1:77"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row>
    <row r="117" spans="1:77"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row>
    <row r="118" spans="1:77"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row>
    <row r="119" spans="1:77"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row>
    <row r="120" spans="1:77"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row>
    <row r="121" spans="1:77"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row>
    <row r="122" spans="1:77"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row>
    <row r="123" spans="1:77"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row>
    <row r="124" spans="1:77"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row>
    <row r="125" spans="1:77"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row>
    <row r="126" spans="1:77"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row>
    <row r="127" spans="1:77"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row>
    <row r="128" spans="1:77"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row>
    <row r="129" spans="1:77"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row>
    <row r="130" spans="1:77"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row>
    <row r="131" spans="1:77"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row>
    <row r="132" spans="1:77"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row>
    <row r="133" spans="1:77"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row>
    <row r="134" spans="1:77"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row>
    <row r="135" spans="1:77"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row>
    <row r="136" spans="1:77"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row>
    <row r="137" spans="1:77"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row>
    <row r="138" spans="1:77"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row>
    <row r="139" spans="1:77"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row>
    <row r="140" spans="1:77"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row>
    <row r="141" spans="1:77"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row>
    <row r="142" spans="1:77"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row>
    <row r="143" spans="1:77"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row>
    <row r="144" spans="1:77"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row>
    <row r="145" spans="1:77"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row>
    <row r="146" spans="1:77"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row>
    <row r="147" spans="1:77"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row>
    <row r="148" spans="1:77"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row>
    <row r="149" spans="1:77"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row>
    <row r="150" spans="1:77"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row>
    <row r="151" spans="1:77"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row>
    <row r="152" spans="1:77"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row>
    <row r="153" spans="1:77"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row>
    <row r="154" spans="1:77"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row>
    <row r="155" spans="1:77"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row>
    <row r="156" spans="1:77"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row>
    <row r="157" spans="1:77"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row>
    <row r="158" spans="1:77"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row>
    <row r="159" spans="1:77"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row>
    <row r="160" spans="1:77"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row>
    <row r="161" spans="1:77"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row>
    <row r="162" spans="1:77"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row>
    <row r="163" spans="1:77"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row>
    <row r="164" spans="1:77"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row>
    <row r="165" spans="1:77"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row>
    <row r="166" spans="1:77"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row>
    <row r="167" spans="1:77"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row>
    <row r="168" spans="1:77"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row>
    <row r="169" spans="1:77"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row>
    <row r="170" spans="1:77"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row>
    <row r="171" spans="1:77"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row>
    <row r="172" spans="1:77"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row>
    <row r="173" spans="1:77"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row>
    <row r="174" spans="1:77"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row>
    <row r="175" spans="1:77"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row>
    <row r="176" spans="1:77"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row>
    <row r="177" spans="1:77"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row>
    <row r="178" spans="1:77"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row>
    <row r="179" spans="1:77"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row>
    <row r="180" spans="1:77"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row>
    <row r="181" spans="1:77"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row>
    <row r="182" spans="1:77"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row>
    <row r="183" spans="1:77"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row>
    <row r="184" spans="1:77"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row>
    <row r="185" spans="1:77"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row>
    <row r="186" spans="1:77"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row>
    <row r="187" spans="1:77"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row>
    <row r="188" spans="1:77"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row>
    <row r="189" spans="1:77"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row>
    <row r="190" spans="1:77"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row>
    <row r="191" spans="1:77"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row>
    <row r="192" spans="1:77"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row>
    <row r="193" spans="1:77"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row>
    <row r="194" spans="1:77"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row>
    <row r="195" spans="1:77"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row>
    <row r="196" spans="1:77"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row>
    <row r="197" spans="1:77"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row>
    <row r="198" spans="1:77"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row>
    <row r="199" spans="1:77"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row>
    <row r="200" spans="1:77"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row>
    <row r="201" spans="1:77"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row>
    <row r="202" spans="1:77"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row>
    <row r="203" spans="1:77"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row>
    <row r="204" spans="1:77"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row>
    <row r="205" spans="1:77"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row>
    <row r="206" spans="1:77"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row>
    <row r="207" spans="1:77"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row>
    <row r="208" spans="1:77"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row>
    <row r="209" spans="1:77"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row>
    <row r="210" spans="1:77"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row>
    <row r="211" spans="1:77"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row>
    <row r="212" spans="1:77"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row>
    <row r="213" spans="1:77"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row>
    <row r="214" spans="1:77"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row>
    <row r="215" spans="1:77"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row>
    <row r="216" spans="1:77"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row>
    <row r="217" spans="1:77"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row>
    <row r="218" spans="1:77"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row>
    <row r="219" spans="1:77"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row>
    <row r="220" spans="1:77"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row>
    <row r="221" spans="1:77"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row>
    <row r="222" spans="1:77"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row>
    <row r="223" spans="1:77"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row>
    <row r="224" spans="1:77"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row>
    <row r="225" spans="1:77"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row>
    <row r="226" spans="1:77"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row>
    <row r="227" spans="1:77"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row>
    <row r="228" spans="1:77"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row>
    <row r="229" spans="1:77"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row>
    <row r="230" spans="1:77"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row>
    <row r="231" spans="1:77"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row>
    <row r="232" spans="1:77"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row>
    <row r="233" spans="1:77"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row>
    <row r="234" spans="1:77"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row>
    <row r="235" spans="1:77"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row>
    <row r="236" spans="1:77"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row>
    <row r="237" spans="1:77"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row>
    <row r="238" spans="1:77"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row>
    <row r="239" spans="1:77"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row>
    <row r="240" spans="1:77"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row>
    <row r="241" spans="1:77"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row>
    <row r="242" spans="1:77"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row>
    <row r="243" spans="1:77"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row>
    <row r="244" spans="1:77"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row>
    <row r="245" spans="1:77"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row>
    <row r="246" spans="1:77"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row>
    <row r="247" spans="1:77"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row>
    <row r="248" spans="1:77"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row>
    <row r="249" spans="1:77"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row>
    <row r="250" spans="1:77"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row>
    <row r="251" spans="1:77"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row>
    <row r="252" spans="1:77"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row>
    <row r="253" spans="1:77"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row>
    <row r="254" spans="1:77"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row>
    <row r="255" spans="1:77"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row>
    <row r="256" spans="1:77"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row>
    <row r="257" spans="1:77"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row>
    <row r="258" spans="1:77"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row>
    <row r="259" spans="1:77"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row>
    <row r="260" spans="1:77"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row>
    <row r="261" spans="1:77"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row>
    <row r="262" spans="1:77"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row>
    <row r="263" spans="1:77"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row>
    <row r="264" spans="1:77"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row>
    <row r="265" spans="1:77"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row>
    <row r="266" spans="1:77"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row>
    <row r="267" spans="1:77"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row>
    <row r="268" spans="1:77"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row>
    <row r="269" spans="1:77"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row>
    <row r="270" spans="1:77"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row>
    <row r="271" spans="1:77"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row>
    <row r="272" spans="1:77"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row>
    <row r="273" spans="1:77"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row>
    <row r="274" spans="1:77"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row>
    <row r="275" spans="1:77"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row>
    <row r="276" spans="1:77"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row>
    <row r="277" spans="1:77"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row>
    <row r="278" spans="1:77"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row>
    <row r="279" spans="1:77"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row>
    <row r="280" spans="1:77"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row>
    <row r="281" spans="1:77"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row>
    <row r="282" spans="1:77"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row>
    <row r="283" spans="1:77"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row>
    <row r="284" spans="1:77"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row>
    <row r="285" spans="1:77"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row>
    <row r="286" spans="1:77"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row>
    <row r="287" spans="1:77"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row>
    <row r="288" spans="1:77"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row>
    <row r="289" spans="1:77"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row>
    <row r="290" spans="1:77"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row>
    <row r="291" spans="1:77"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row>
    <row r="292" spans="1:77"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row>
    <row r="293" spans="1:77"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row>
    <row r="294" spans="1:77"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row>
    <row r="295" spans="1:77"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row>
    <row r="296" spans="1:77"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row>
    <row r="297" spans="1:77"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row>
    <row r="298" spans="1:77"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row>
    <row r="299" spans="1:77"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row>
    <row r="300" spans="1:77"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row>
    <row r="301" spans="1:77"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row>
    <row r="302" spans="1:77"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row>
    <row r="303" spans="1:77"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row>
    <row r="304" spans="1:77"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row>
    <row r="305" spans="1:77"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row>
    <row r="306" spans="1:77"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row>
    <row r="307" spans="1:77"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row>
    <row r="308" spans="1:77"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row>
    <row r="309" spans="1:77"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row>
    <row r="310" spans="1:77"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row>
    <row r="311" spans="1:77"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row>
    <row r="312" spans="1:77"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row>
    <row r="313" spans="1:77"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row>
    <row r="314" spans="1:77"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row>
    <row r="315" spans="1:77"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row>
    <row r="316" spans="1:77"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row>
    <row r="317" spans="1:77"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row>
    <row r="318" spans="1:77"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row>
    <row r="319" spans="1:77"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row>
    <row r="320" spans="1:77"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row>
    <row r="321" spans="1:77"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row>
    <row r="322" spans="1:77"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row>
    <row r="323" spans="1:77"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row>
    <row r="324" spans="1:77"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row>
    <row r="325" spans="1:77"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row>
    <row r="326" spans="1:77"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row>
    <row r="327" spans="1:77"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row>
    <row r="328" spans="1:77"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row>
    <row r="329" spans="1:77"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row>
    <row r="330" spans="1:77"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row>
    <row r="331" spans="1:77"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row>
    <row r="332" spans="1:77"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row>
    <row r="333" spans="1:77"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row>
    <row r="334" spans="1:77"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row>
    <row r="335" spans="1:77"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row>
    <row r="336" spans="1:77"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row>
    <row r="337" spans="1:77"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row>
    <row r="338" spans="1:77"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row>
    <row r="339" spans="1:77"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row>
    <row r="340" spans="1:77"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row>
    <row r="341" spans="1:77"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row>
    <row r="342" spans="1:77"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row>
    <row r="343" spans="1:77"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row>
    <row r="344" spans="1:77"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row>
    <row r="345" spans="1:77"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row>
    <row r="346" spans="1:77"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row>
    <row r="347" spans="1:77"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row>
    <row r="348" spans="1:77"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row>
    <row r="349" spans="1:77"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row>
    <row r="350" spans="1:77"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row>
    <row r="351" spans="1:77"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row>
    <row r="352" spans="1:77"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row>
    <row r="353" spans="1:77"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row>
    <row r="354" spans="1:77"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row>
    <row r="355" spans="1:77"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row>
    <row r="356" spans="1:77"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row>
    <row r="357" spans="1:77"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row>
    <row r="358" spans="1:77"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row>
    <row r="359" spans="1:77"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row>
    <row r="360" spans="1:77"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row>
    <row r="361" spans="1:77"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row>
    <row r="362" spans="1:77"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row>
    <row r="363" spans="1:77"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row>
    <row r="364" spans="1:77"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row>
    <row r="365" spans="1:77"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row>
    <row r="366" spans="1:77"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row>
    <row r="367" spans="1:77"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row>
    <row r="368" spans="1:77"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row>
    <row r="369" spans="1:77"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row>
    <row r="370" spans="1:77"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row>
    <row r="371" spans="1:77"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row>
    <row r="372" spans="1:77"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row>
    <row r="373" spans="1:77"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row>
    <row r="374" spans="1:77"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row>
    <row r="375" spans="1:77"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row>
    <row r="376" spans="1:77"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row>
    <row r="377" spans="1:77"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row>
    <row r="378" spans="1:77"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row>
    <row r="379" spans="1:77"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row>
    <row r="380" spans="1:77"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row>
    <row r="381" spans="1:77"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row>
    <row r="382" spans="1:77"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row>
    <row r="383" spans="1:77"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row>
    <row r="384" spans="1:77"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row>
    <row r="385" spans="1:77"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row>
    <row r="386" spans="1:77"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row>
    <row r="387" spans="1:77"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row>
    <row r="388" spans="1:77"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row>
    <row r="389" spans="1:77"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row>
    <row r="390" spans="1:77"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row>
    <row r="391" spans="1:77"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row>
    <row r="392" spans="1:77"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row>
    <row r="393" spans="1:77"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row>
    <row r="394" spans="1:77"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row>
    <row r="395" spans="1:77"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row>
    <row r="396" spans="1:77"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row>
    <row r="397" spans="1:77"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row>
    <row r="398" spans="1:77"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row>
    <row r="399" spans="1:77"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row>
    <row r="400" spans="1:77"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row>
    <row r="401" spans="1:77"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row>
    <row r="402" spans="1:77"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row>
    <row r="403" spans="1:77"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row>
    <row r="404" spans="1:77"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row>
    <row r="405" spans="1:77"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row>
    <row r="406" spans="1:77"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row>
    <row r="407" spans="1:77"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row>
    <row r="408" spans="1:77"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row>
    <row r="409" spans="1:77"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row>
    <row r="410" spans="1:77"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row>
    <row r="411" spans="1:77"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row>
    <row r="412" spans="1:77"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row>
    <row r="413" spans="1:77"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row>
    <row r="414" spans="1:77"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row>
    <row r="415" spans="1:77"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row>
    <row r="416" spans="1:77"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row>
    <row r="417" spans="1:77"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row>
    <row r="418" spans="1:77"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row>
    <row r="419" spans="1:77"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row>
    <row r="420" spans="1:77"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row>
    <row r="421" spans="1:77"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row>
    <row r="422" spans="1:77"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row>
    <row r="423" spans="1:77"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row>
    <row r="424" spans="1:77"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row>
    <row r="425" spans="1:77"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row>
    <row r="426" spans="1:77"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row>
    <row r="427" spans="1:77"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row>
    <row r="428" spans="1:77"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row>
    <row r="429" spans="1:77"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row>
    <row r="430" spans="1:77"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row>
    <row r="431" spans="1:77"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row>
    <row r="432" spans="1:77"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row>
    <row r="433" spans="1:77"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row>
    <row r="434" spans="1:77"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row>
    <row r="435" spans="1:77"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row>
    <row r="436" spans="1:77"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row>
    <row r="437" spans="1:77"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row>
    <row r="438" spans="1:77"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row>
    <row r="439" spans="1:77"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row>
    <row r="440" spans="1:77"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row>
    <row r="441" spans="1:77"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row>
    <row r="442" spans="1:77"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row>
    <row r="443" spans="1:77"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row>
    <row r="444" spans="1:77"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row>
    <row r="445" spans="1:77"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row>
    <row r="446" spans="1:77"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row>
    <row r="447" spans="1:77"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row>
    <row r="448" spans="1:77"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row>
    <row r="449" spans="1:77"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row>
    <row r="450" spans="1:77"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row>
    <row r="451" spans="1:77"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row>
    <row r="452" spans="1:77"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row>
    <row r="453" spans="1:77"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row>
    <row r="454" spans="1:77"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row>
    <row r="455" spans="1:77"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row>
    <row r="456" spans="1:77"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row>
    <row r="457" spans="1:77"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row>
    <row r="458" spans="1:77"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row>
    <row r="459" spans="1:77"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row>
    <row r="460" spans="1:77"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row>
    <row r="461" spans="1:77"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row>
    <row r="462" spans="1:77"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row>
    <row r="463" spans="1:77"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row>
    <row r="464" spans="1:77"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row>
    <row r="465" spans="1:77"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row>
    <row r="466" spans="1:77"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row>
    <row r="467" spans="1:77"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row>
    <row r="468" spans="1:77"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row>
    <row r="469" spans="1:77"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row>
    <row r="470" spans="1:77"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row>
    <row r="471" spans="1:77"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row>
    <row r="472" spans="1:77"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row>
    <row r="473" spans="1:77"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row>
    <row r="474" spans="1:77"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row>
    <row r="475" spans="1:77"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row>
    <row r="476" spans="1:77"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row>
    <row r="477" spans="1:77"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row>
    <row r="478" spans="1:77"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row>
    <row r="479" spans="1:77"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row>
    <row r="480" spans="1:77"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row>
    <row r="481" spans="1:77"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row>
    <row r="482" spans="1:77"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row>
    <row r="483" spans="1:77"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row>
    <row r="484" spans="1:77"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row>
    <row r="485" spans="1:77"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row>
    <row r="486" spans="1:77"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row>
    <row r="487" spans="1:77"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row>
    <row r="488" spans="1:77"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row>
    <row r="489" spans="1:77"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row>
    <row r="490" spans="1:77"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row>
    <row r="491" spans="1:77"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row>
    <row r="492" spans="1:77"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row>
    <row r="493" spans="1:77"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row>
    <row r="494" spans="1:77"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row>
    <row r="495" spans="1:77"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row>
    <row r="496" spans="1:77"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row>
    <row r="497" spans="1:77"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row>
    <row r="498" spans="1:77"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row>
    <row r="499" spans="1:77"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row>
    <row r="500" spans="1:77"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row>
    <row r="501" spans="1:77"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row>
    <row r="502" spans="1:77"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row>
    <row r="503" spans="1:77"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row>
    <row r="504" spans="1:77"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row>
    <row r="505" spans="1:77"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row>
    <row r="506" spans="1:77"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row>
    <row r="507" spans="1:77"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row>
    <row r="508" spans="1:77"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row>
    <row r="509" spans="1:77"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row>
    <row r="510" spans="1:77"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row>
    <row r="511" spans="1:77"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row>
    <row r="512" spans="1:77"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row>
    <row r="513" spans="1:77"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row>
    <row r="514" spans="1:77"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row>
    <row r="515" spans="1:77"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row>
    <row r="516" spans="1:77"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row>
    <row r="517" spans="1:77"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row>
    <row r="518" spans="1:77"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row>
    <row r="519" spans="1:77"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row>
    <row r="520" spans="1:77"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row>
    <row r="521" spans="1:77"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row>
    <row r="522" spans="1:77"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row>
    <row r="523" spans="1:77"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row>
    <row r="524" spans="1:77"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row>
    <row r="525" spans="1:77"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row>
    <row r="526" spans="1:77"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row>
    <row r="527" spans="1:77"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row>
    <row r="528" spans="1:77"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row>
    <row r="529" spans="1:77"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row>
    <row r="530" spans="1:77"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row>
    <row r="531" spans="1:77"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row>
    <row r="532" spans="1:77"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row>
    <row r="533" spans="1:77"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row>
    <row r="534" spans="1:77"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row>
    <row r="535" spans="1:77"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row>
    <row r="536" spans="1:77"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row>
    <row r="537" spans="1:77"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row>
    <row r="538" spans="1:77"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row>
    <row r="539" spans="1:77"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row>
    <row r="540" spans="1:77"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row>
    <row r="541" spans="1:77"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row>
    <row r="542" spans="1:77"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row>
    <row r="543" spans="1:77"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row>
    <row r="544" spans="1:77"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row>
    <row r="545" spans="1:77"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c r="BL545" s="7"/>
      <c r="BM545" s="7"/>
      <c r="BN545" s="7"/>
      <c r="BO545" s="7"/>
      <c r="BP545" s="7"/>
      <c r="BQ545" s="7"/>
      <c r="BR545" s="7"/>
      <c r="BS545" s="7"/>
      <c r="BT545" s="7"/>
      <c r="BU545" s="7"/>
      <c r="BV545" s="7"/>
      <c r="BW545" s="7"/>
      <c r="BX545" s="7"/>
      <c r="BY545" s="7"/>
    </row>
    <row r="546" spans="1:77"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row>
    <row r="547" spans="1:77"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row>
    <row r="548" spans="1:77"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row>
    <row r="549" spans="1:77"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row>
    <row r="550" spans="1:77"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row>
    <row r="551" spans="1:77"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row>
    <row r="552" spans="1:77"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row>
    <row r="553" spans="1:77"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row>
    <row r="554" spans="1:77"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row>
    <row r="555" spans="1:77"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row>
    <row r="556" spans="1:77"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row>
    <row r="557" spans="1:77"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c r="BL557" s="7"/>
      <c r="BM557" s="7"/>
      <c r="BN557" s="7"/>
      <c r="BO557" s="7"/>
      <c r="BP557" s="7"/>
      <c r="BQ557" s="7"/>
      <c r="BR557" s="7"/>
      <c r="BS557" s="7"/>
      <c r="BT557" s="7"/>
      <c r="BU557" s="7"/>
      <c r="BV557" s="7"/>
      <c r="BW557" s="7"/>
      <c r="BX557" s="7"/>
      <c r="BY557" s="7"/>
    </row>
    <row r="558" spans="1:77"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row>
    <row r="559" spans="1:77"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row>
    <row r="560" spans="1:77"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row>
    <row r="561" spans="1:77"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row>
    <row r="562" spans="1:77"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row>
    <row r="563" spans="1:77"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row>
    <row r="564" spans="1:77"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row>
    <row r="565" spans="1:77"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row>
    <row r="566" spans="1:77"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row>
    <row r="567" spans="1:77"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row>
    <row r="568" spans="1:77"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row>
    <row r="569" spans="1:77"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row>
    <row r="570" spans="1:77"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row>
    <row r="571" spans="1:77"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row>
    <row r="572" spans="1:77"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row>
    <row r="573" spans="1:77"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row>
    <row r="574" spans="1:77"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row>
    <row r="575" spans="1:77"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row>
    <row r="576" spans="1:77"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row>
    <row r="577" spans="1:77"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row>
    <row r="578" spans="1:77"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row>
    <row r="579" spans="1:77"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row>
    <row r="580" spans="1:77"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row>
    <row r="581" spans="1:77"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row>
    <row r="582" spans="1:77"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row>
    <row r="583" spans="1:77"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row>
    <row r="584" spans="1:77"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row>
    <row r="585" spans="1:77"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row>
    <row r="586" spans="1:77"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row>
    <row r="587" spans="1:77"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row>
    <row r="588" spans="1:77"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row>
    <row r="589" spans="1:77"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row>
    <row r="590" spans="1:77"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row>
    <row r="591" spans="1:77"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row>
    <row r="592" spans="1:77"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row>
    <row r="593" spans="1:77"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row>
    <row r="594" spans="1:77"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row>
    <row r="595" spans="1:77"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row>
    <row r="596" spans="1:77"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row>
    <row r="597" spans="1:77"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row>
    <row r="598" spans="1:77"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row>
    <row r="599" spans="1:77"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row>
    <row r="600" spans="1:77"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row>
    <row r="601" spans="1:77"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row>
    <row r="602" spans="1:77"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row>
    <row r="603" spans="1:77"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row>
    <row r="604" spans="1:77"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row>
    <row r="605" spans="1:77"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c r="BL605" s="7"/>
      <c r="BM605" s="7"/>
      <c r="BN605" s="7"/>
      <c r="BO605" s="7"/>
      <c r="BP605" s="7"/>
      <c r="BQ605" s="7"/>
      <c r="BR605" s="7"/>
      <c r="BS605" s="7"/>
      <c r="BT605" s="7"/>
      <c r="BU605" s="7"/>
      <c r="BV605" s="7"/>
      <c r="BW605" s="7"/>
      <c r="BX605" s="7"/>
      <c r="BY605" s="7"/>
    </row>
    <row r="606" spans="1:77"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row>
    <row r="607" spans="1:77"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row>
    <row r="608" spans="1:77"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row>
    <row r="609" spans="1:77"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row>
    <row r="610" spans="1:77"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row>
    <row r="611" spans="1:77"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row>
    <row r="612" spans="1:77"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row>
    <row r="613" spans="1:77"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row>
    <row r="614" spans="1:77"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row>
    <row r="615" spans="1:77"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row>
    <row r="616" spans="1:77"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row>
    <row r="617" spans="1:77"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row>
    <row r="618" spans="1:77"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row>
    <row r="619" spans="1:77"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row>
    <row r="620" spans="1:77"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row>
    <row r="621" spans="1:77"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row>
    <row r="622" spans="1:77"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c r="BL622" s="7"/>
      <c r="BM622" s="7"/>
      <c r="BN622" s="7"/>
      <c r="BO622" s="7"/>
      <c r="BP622" s="7"/>
      <c r="BQ622" s="7"/>
      <c r="BR622" s="7"/>
      <c r="BS622" s="7"/>
      <c r="BT622" s="7"/>
      <c r="BU622" s="7"/>
      <c r="BV622" s="7"/>
      <c r="BW622" s="7"/>
      <c r="BX622" s="7"/>
      <c r="BY622" s="7"/>
    </row>
    <row r="623" spans="1:77"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row>
    <row r="624" spans="1:77"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row>
    <row r="625" spans="1:77"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row>
    <row r="626" spans="1:77"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row>
    <row r="627" spans="1:77"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row>
    <row r="628" spans="1:77"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row>
    <row r="629" spans="1:77"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row>
    <row r="630" spans="1:77"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row>
    <row r="631" spans="1:77"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row>
    <row r="632" spans="1:77"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row>
    <row r="633" spans="1:77"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row>
    <row r="634" spans="1:77"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row>
    <row r="635" spans="1:77"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row>
    <row r="636" spans="1:77"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row>
    <row r="637" spans="1:77"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c r="BL637" s="7"/>
      <c r="BM637" s="7"/>
      <c r="BN637" s="7"/>
      <c r="BO637" s="7"/>
      <c r="BP637" s="7"/>
      <c r="BQ637" s="7"/>
      <c r="BR637" s="7"/>
      <c r="BS637" s="7"/>
      <c r="BT637" s="7"/>
      <c r="BU637" s="7"/>
      <c r="BV637" s="7"/>
      <c r="BW637" s="7"/>
      <c r="BX637" s="7"/>
      <c r="BY637" s="7"/>
    </row>
    <row r="638" spans="1:77"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row>
    <row r="639" spans="1:77"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row>
    <row r="640" spans="1:77"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row>
    <row r="641" spans="1:77"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row>
    <row r="642" spans="1:77"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row>
    <row r="643" spans="1:77"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c r="BL643" s="7"/>
      <c r="BM643" s="7"/>
      <c r="BN643" s="7"/>
      <c r="BO643" s="7"/>
      <c r="BP643" s="7"/>
      <c r="BQ643" s="7"/>
      <c r="BR643" s="7"/>
      <c r="BS643" s="7"/>
      <c r="BT643" s="7"/>
      <c r="BU643" s="7"/>
      <c r="BV643" s="7"/>
      <c r="BW643" s="7"/>
      <c r="BX643" s="7"/>
      <c r="BY643" s="7"/>
    </row>
    <row r="644" spans="1:77"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row>
    <row r="645" spans="1:77"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row>
    <row r="646" spans="1:77"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row>
    <row r="647" spans="1:77"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row>
    <row r="648" spans="1:77"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row>
    <row r="649" spans="1:77"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row>
    <row r="650" spans="1:77"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row>
    <row r="651" spans="1:77"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row>
    <row r="652" spans="1:77"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row>
    <row r="653" spans="1:77"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row>
    <row r="654" spans="1:77"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row>
    <row r="655" spans="1:77"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row>
    <row r="656" spans="1:77"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row>
    <row r="657" spans="1:77"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row>
    <row r="658" spans="1:77"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row>
    <row r="659" spans="1:77"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row>
    <row r="660" spans="1:77"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row>
    <row r="661" spans="1:77"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row>
    <row r="662" spans="1:77"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row>
    <row r="663" spans="1:77"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row>
    <row r="664" spans="1:77"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row>
    <row r="665" spans="1:77"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row>
    <row r="666" spans="1:77"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row>
    <row r="667" spans="1:77"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row>
    <row r="668" spans="1:77"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row>
    <row r="669" spans="1:77"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row>
    <row r="670" spans="1:77"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row>
    <row r="671" spans="1:77"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row>
    <row r="672" spans="1:77"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row>
    <row r="673" spans="1:77"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row>
    <row r="674" spans="1:77"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row>
    <row r="675" spans="1:77"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row>
    <row r="676" spans="1:77"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row>
    <row r="677" spans="1:77"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row>
    <row r="678" spans="1:77"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row>
    <row r="679" spans="1:77"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row>
    <row r="680" spans="1:77"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row>
    <row r="681" spans="1:77"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row>
    <row r="682" spans="1:77"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row>
    <row r="683" spans="1:77"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row>
    <row r="684" spans="1:77"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row>
    <row r="685" spans="1:77"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row>
    <row r="686" spans="1:77"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row>
    <row r="687" spans="1:77"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row>
    <row r="688" spans="1:77"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row>
    <row r="689" spans="1:77"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row>
    <row r="690" spans="1:77"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row>
    <row r="691" spans="1:77"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row>
    <row r="692" spans="1:77"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row>
    <row r="693" spans="1:77"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row>
    <row r="694" spans="1:77"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row>
    <row r="695" spans="1:77"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row>
    <row r="696" spans="1:77"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row>
    <row r="697" spans="1:77"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row>
    <row r="698" spans="1:77"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row>
    <row r="699" spans="1:77"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row>
    <row r="700" spans="1:77"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row>
    <row r="701" spans="1:77"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row>
    <row r="702" spans="1:77"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row>
    <row r="703" spans="1:77"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row>
    <row r="704" spans="1:77"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row>
    <row r="705" spans="1:77"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row>
    <row r="706" spans="1:77"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row>
    <row r="707" spans="1:77"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row>
    <row r="708" spans="1:77"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c r="BL708" s="7"/>
      <c r="BM708" s="7"/>
      <c r="BN708" s="7"/>
      <c r="BO708" s="7"/>
      <c r="BP708" s="7"/>
      <c r="BQ708" s="7"/>
      <c r="BR708" s="7"/>
      <c r="BS708" s="7"/>
      <c r="BT708" s="7"/>
      <c r="BU708" s="7"/>
      <c r="BV708" s="7"/>
      <c r="BW708" s="7"/>
      <c r="BX708" s="7"/>
      <c r="BY708" s="7"/>
    </row>
    <row r="709" spans="1:77"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row>
    <row r="710" spans="1:77"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row>
    <row r="711" spans="1:77"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row>
    <row r="712" spans="1:77"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row>
    <row r="713" spans="1:77"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row>
    <row r="714" spans="1:77"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row>
    <row r="715" spans="1:77"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row>
    <row r="716" spans="1:77"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row>
    <row r="717" spans="1:77"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row>
    <row r="718" spans="1:77"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row>
    <row r="719" spans="1:77"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row>
    <row r="720" spans="1:77"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row>
    <row r="721" spans="1:77"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row>
    <row r="722" spans="1:77"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row>
    <row r="723" spans="1:77"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row>
    <row r="724" spans="1:77"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row>
    <row r="725" spans="1:77"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row>
    <row r="726" spans="1:77"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row>
    <row r="727" spans="1:77"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row>
    <row r="728" spans="1:77"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row>
    <row r="729" spans="1:77"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row>
    <row r="730" spans="1:77"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row>
    <row r="731" spans="1:77"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row>
    <row r="732" spans="1:77"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row>
    <row r="733" spans="1:77"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row>
    <row r="734" spans="1:77"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row>
    <row r="735" spans="1:77"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row>
    <row r="736" spans="1:77"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row>
    <row r="737" spans="1:77"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row>
    <row r="738" spans="1:77"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row>
    <row r="739" spans="1:77"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row>
    <row r="740" spans="1:77"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row>
    <row r="741" spans="1:77"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row>
    <row r="742" spans="1:77"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row>
    <row r="743" spans="1:77"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row>
    <row r="744" spans="1:77"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row>
    <row r="745" spans="1:77"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row>
    <row r="746" spans="1:77"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row>
    <row r="747" spans="1:77"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row>
    <row r="748" spans="1:77"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row>
    <row r="749" spans="1:77"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c r="BL749" s="7"/>
      <c r="BM749" s="7"/>
      <c r="BN749" s="7"/>
      <c r="BO749" s="7"/>
      <c r="BP749" s="7"/>
      <c r="BQ749" s="7"/>
      <c r="BR749" s="7"/>
      <c r="BS749" s="7"/>
      <c r="BT749" s="7"/>
      <c r="BU749" s="7"/>
      <c r="BV749" s="7"/>
      <c r="BW749" s="7"/>
      <c r="BX749" s="7"/>
      <c r="BY749" s="7"/>
    </row>
    <row r="750" spans="1:77"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c r="BL750" s="7"/>
      <c r="BM750" s="7"/>
      <c r="BN750" s="7"/>
      <c r="BO750" s="7"/>
      <c r="BP750" s="7"/>
      <c r="BQ750" s="7"/>
      <c r="BR750" s="7"/>
      <c r="BS750" s="7"/>
      <c r="BT750" s="7"/>
      <c r="BU750" s="7"/>
      <c r="BV750" s="7"/>
      <c r="BW750" s="7"/>
      <c r="BX750" s="7"/>
      <c r="BY750" s="7"/>
    </row>
    <row r="751" spans="1:77"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c r="BL751" s="7"/>
      <c r="BM751" s="7"/>
      <c r="BN751" s="7"/>
      <c r="BO751" s="7"/>
      <c r="BP751" s="7"/>
      <c r="BQ751" s="7"/>
      <c r="BR751" s="7"/>
      <c r="BS751" s="7"/>
      <c r="BT751" s="7"/>
      <c r="BU751" s="7"/>
      <c r="BV751" s="7"/>
      <c r="BW751" s="7"/>
      <c r="BX751" s="7"/>
      <c r="BY751" s="7"/>
    </row>
    <row r="752" spans="1:77"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c r="BL752" s="7"/>
      <c r="BM752" s="7"/>
      <c r="BN752" s="7"/>
      <c r="BO752" s="7"/>
      <c r="BP752" s="7"/>
      <c r="BQ752" s="7"/>
      <c r="BR752" s="7"/>
      <c r="BS752" s="7"/>
      <c r="BT752" s="7"/>
      <c r="BU752" s="7"/>
      <c r="BV752" s="7"/>
      <c r="BW752" s="7"/>
      <c r="BX752" s="7"/>
      <c r="BY752" s="7"/>
    </row>
    <row r="753" spans="1:77"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c r="BL753" s="7"/>
      <c r="BM753" s="7"/>
      <c r="BN753" s="7"/>
      <c r="BO753" s="7"/>
      <c r="BP753" s="7"/>
      <c r="BQ753" s="7"/>
      <c r="BR753" s="7"/>
      <c r="BS753" s="7"/>
      <c r="BT753" s="7"/>
      <c r="BU753" s="7"/>
      <c r="BV753" s="7"/>
      <c r="BW753" s="7"/>
      <c r="BX753" s="7"/>
      <c r="BY753" s="7"/>
    </row>
    <row r="754" spans="1:77"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row>
    <row r="755" spans="1:77"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row>
    <row r="756" spans="1:77"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row>
    <row r="757" spans="1:77"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row>
    <row r="758" spans="1:77"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row>
    <row r="759" spans="1:77"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c r="BL759" s="7"/>
      <c r="BM759" s="7"/>
      <c r="BN759" s="7"/>
      <c r="BO759" s="7"/>
      <c r="BP759" s="7"/>
      <c r="BQ759" s="7"/>
      <c r="BR759" s="7"/>
      <c r="BS759" s="7"/>
      <c r="BT759" s="7"/>
      <c r="BU759" s="7"/>
      <c r="BV759" s="7"/>
      <c r="BW759" s="7"/>
      <c r="BX759" s="7"/>
      <c r="BY759" s="7"/>
    </row>
    <row r="760" spans="1:77"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c r="BL760" s="7"/>
      <c r="BM760" s="7"/>
      <c r="BN760" s="7"/>
      <c r="BO760" s="7"/>
      <c r="BP760" s="7"/>
      <c r="BQ760" s="7"/>
      <c r="BR760" s="7"/>
      <c r="BS760" s="7"/>
      <c r="BT760" s="7"/>
      <c r="BU760" s="7"/>
      <c r="BV760" s="7"/>
      <c r="BW760" s="7"/>
      <c r="BX760" s="7"/>
      <c r="BY760" s="7"/>
    </row>
    <row r="761" spans="1:77"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row>
    <row r="762" spans="1:77"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c r="BL762" s="7"/>
      <c r="BM762" s="7"/>
      <c r="BN762" s="7"/>
      <c r="BO762" s="7"/>
      <c r="BP762" s="7"/>
      <c r="BQ762" s="7"/>
      <c r="BR762" s="7"/>
      <c r="BS762" s="7"/>
      <c r="BT762" s="7"/>
      <c r="BU762" s="7"/>
      <c r="BV762" s="7"/>
      <c r="BW762" s="7"/>
      <c r="BX762" s="7"/>
      <c r="BY762" s="7"/>
    </row>
    <row r="763" spans="1:77"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row>
    <row r="764" spans="1:77"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c r="BL764" s="7"/>
      <c r="BM764" s="7"/>
      <c r="BN764" s="7"/>
      <c r="BO764" s="7"/>
      <c r="BP764" s="7"/>
      <c r="BQ764" s="7"/>
      <c r="BR764" s="7"/>
      <c r="BS764" s="7"/>
      <c r="BT764" s="7"/>
      <c r="BU764" s="7"/>
      <c r="BV764" s="7"/>
      <c r="BW764" s="7"/>
      <c r="BX764" s="7"/>
      <c r="BY764" s="7"/>
    </row>
    <row r="765" spans="1:77"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row>
    <row r="766" spans="1:77"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c r="BL766" s="7"/>
      <c r="BM766" s="7"/>
      <c r="BN766" s="7"/>
      <c r="BO766" s="7"/>
      <c r="BP766" s="7"/>
      <c r="BQ766" s="7"/>
      <c r="BR766" s="7"/>
      <c r="BS766" s="7"/>
      <c r="BT766" s="7"/>
      <c r="BU766" s="7"/>
      <c r="BV766" s="7"/>
      <c r="BW766" s="7"/>
      <c r="BX766" s="7"/>
      <c r="BY766" s="7"/>
    </row>
    <row r="767" spans="1:77"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c r="BL767" s="7"/>
      <c r="BM767" s="7"/>
      <c r="BN767" s="7"/>
      <c r="BO767" s="7"/>
      <c r="BP767" s="7"/>
      <c r="BQ767" s="7"/>
      <c r="BR767" s="7"/>
      <c r="BS767" s="7"/>
      <c r="BT767" s="7"/>
      <c r="BU767" s="7"/>
      <c r="BV767" s="7"/>
      <c r="BW767" s="7"/>
      <c r="BX767" s="7"/>
      <c r="BY767" s="7"/>
    </row>
    <row r="768" spans="1:77"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c r="BL768" s="7"/>
      <c r="BM768" s="7"/>
      <c r="BN768" s="7"/>
      <c r="BO768" s="7"/>
      <c r="BP768" s="7"/>
      <c r="BQ768" s="7"/>
      <c r="BR768" s="7"/>
      <c r="BS768" s="7"/>
      <c r="BT768" s="7"/>
      <c r="BU768" s="7"/>
      <c r="BV768" s="7"/>
      <c r="BW768" s="7"/>
      <c r="BX768" s="7"/>
      <c r="BY768" s="7"/>
    </row>
    <row r="769" spans="1:77"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c r="BL769" s="7"/>
      <c r="BM769" s="7"/>
      <c r="BN769" s="7"/>
      <c r="BO769" s="7"/>
      <c r="BP769" s="7"/>
      <c r="BQ769" s="7"/>
      <c r="BR769" s="7"/>
      <c r="BS769" s="7"/>
      <c r="BT769" s="7"/>
      <c r="BU769" s="7"/>
      <c r="BV769" s="7"/>
      <c r="BW769" s="7"/>
      <c r="BX769" s="7"/>
      <c r="BY769" s="7"/>
    </row>
    <row r="770" spans="1:77"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c r="BL770" s="7"/>
      <c r="BM770" s="7"/>
      <c r="BN770" s="7"/>
      <c r="BO770" s="7"/>
      <c r="BP770" s="7"/>
      <c r="BQ770" s="7"/>
      <c r="BR770" s="7"/>
      <c r="BS770" s="7"/>
      <c r="BT770" s="7"/>
      <c r="BU770" s="7"/>
      <c r="BV770" s="7"/>
      <c r="BW770" s="7"/>
      <c r="BX770" s="7"/>
      <c r="BY770" s="7"/>
    </row>
    <row r="771" spans="1:77"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c r="BL771" s="7"/>
      <c r="BM771" s="7"/>
      <c r="BN771" s="7"/>
      <c r="BO771" s="7"/>
      <c r="BP771" s="7"/>
      <c r="BQ771" s="7"/>
      <c r="BR771" s="7"/>
      <c r="BS771" s="7"/>
      <c r="BT771" s="7"/>
      <c r="BU771" s="7"/>
      <c r="BV771" s="7"/>
      <c r="BW771" s="7"/>
      <c r="BX771" s="7"/>
      <c r="BY771" s="7"/>
    </row>
    <row r="772" spans="1:77"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c r="BL772" s="7"/>
      <c r="BM772" s="7"/>
      <c r="BN772" s="7"/>
      <c r="BO772" s="7"/>
      <c r="BP772" s="7"/>
      <c r="BQ772" s="7"/>
      <c r="BR772" s="7"/>
      <c r="BS772" s="7"/>
      <c r="BT772" s="7"/>
      <c r="BU772" s="7"/>
      <c r="BV772" s="7"/>
      <c r="BW772" s="7"/>
      <c r="BX772" s="7"/>
      <c r="BY772" s="7"/>
    </row>
    <row r="773" spans="1:77"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c r="BL773" s="7"/>
      <c r="BM773" s="7"/>
      <c r="BN773" s="7"/>
      <c r="BO773" s="7"/>
      <c r="BP773" s="7"/>
      <c r="BQ773" s="7"/>
      <c r="BR773" s="7"/>
      <c r="BS773" s="7"/>
      <c r="BT773" s="7"/>
      <c r="BU773" s="7"/>
      <c r="BV773" s="7"/>
      <c r="BW773" s="7"/>
      <c r="BX773" s="7"/>
      <c r="BY773" s="7"/>
    </row>
    <row r="774" spans="1:77"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row>
    <row r="775" spans="1:77"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row>
    <row r="776" spans="1:77"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row>
    <row r="777" spans="1:77"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c r="BL777" s="7"/>
      <c r="BM777" s="7"/>
      <c r="BN777" s="7"/>
      <c r="BO777" s="7"/>
      <c r="BP777" s="7"/>
      <c r="BQ777" s="7"/>
      <c r="BR777" s="7"/>
      <c r="BS777" s="7"/>
      <c r="BT777" s="7"/>
      <c r="BU777" s="7"/>
      <c r="BV777" s="7"/>
      <c r="BW777" s="7"/>
      <c r="BX777" s="7"/>
      <c r="BY777" s="7"/>
    </row>
    <row r="778" spans="1:77"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row>
    <row r="779" spans="1:77"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c r="BL779" s="7"/>
      <c r="BM779" s="7"/>
      <c r="BN779" s="7"/>
      <c r="BO779" s="7"/>
      <c r="BP779" s="7"/>
      <c r="BQ779" s="7"/>
      <c r="BR779" s="7"/>
      <c r="BS779" s="7"/>
      <c r="BT779" s="7"/>
      <c r="BU779" s="7"/>
      <c r="BV779" s="7"/>
      <c r="BW779" s="7"/>
      <c r="BX779" s="7"/>
      <c r="BY779" s="7"/>
    </row>
    <row r="780" spans="1:77"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c r="BL780" s="7"/>
      <c r="BM780" s="7"/>
      <c r="BN780" s="7"/>
      <c r="BO780" s="7"/>
      <c r="BP780" s="7"/>
      <c r="BQ780" s="7"/>
      <c r="BR780" s="7"/>
      <c r="BS780" s="7"/>
      <c r="BT780" s="7"/>
      <c r="BU780" s="7"/>
      <c r="BV780" s="7"/>
      <c r="BW780" s="7"/>
      <c r="BX780" s="7"/>
      <c r="BY780" s="7"/>
    </row>
    <row r="781" spans="1:77"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c r="BL781" s="7"/>
      <c r="BM781" s="7"/>
      <c r="BN781" s="7"/>
      <c r="BO781" s="7"/>
      <c r="BP781" s="7"/>
      <c r="BQ781" s="7"/>
      <c r="BR781" s="7"/>
      <c r="BS781" s="7"/>
      <c r="BT781" s="7"/>
      <c r="BU781" s="7"/>
      <c r="BV781" s="7"/>
      <c r="BW781" s="7"/>
      <c r="BX781" s="7"/>
      <c r="BY781" s="7"/>
    </row>
    <row r="782" spans="1:77"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row>
    <row r="783" spans="1:77"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c r="BL783" s="7"/>
      <c r="BM783" s="7"/>
      <c r="BN783" s="7"/>
      <c r="BO783" s="7"/>
      <c r="BP783" s="7"/>
      <c r="BQ783" s="7"/>
      <c r="BR783" s="7"/>
      <c r="BS783" s="7"/>
      <c r="BT783" s="7"/>
      <c r="BU783" s="7"/>
      <c r="BV783" s="7"/>
      <c r="BW783" s="7"/>
      <c r="BX783" s="7"/>
      <c r="BY783" s="7"/>
    </row>
    <row r="784" spans="1:77"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row>
    <row r="785" spans="1:77"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row>
    <row r="786" spans="1:77"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row>
    <row r="787" spans="1:77"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row>
    <row r="788" spans="1:77"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row>
    <row r="789" spans="1:77"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row>
    <row r="790" spans="1:77"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row>
    <row r="791" spans="1:77"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row>
    <row r="792" spans="1:77"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row>
    <row r="793" spans="1:77"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row>
    <row r="794" spans="1:77"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row>
    <row r="795" spans="1:77"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row>
    <row r="796" spans="1:77"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row>
    <row r="797" spans="1:77"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c r="BL797" s="7"/>
      <c r="BM797" s="7"/>
      <c r="BN797" s="7"/>
      <c r="BO797" s="7"/>
      <c r="BP797" s="7"/>
      <c r="BQ797" s="7"/>
      <c r="BR797" s="7"/>
      <c r="BS797" s="7"/>
      <c r="BT797" s="7"/>
      <c r="BU797" s="7"/>
      <c r="BV797" s="7"/>
      <c r="BW797" s="7"/>
      <c r="BX797" s="7"/>
      <c r="BY797" s="7"/>
    </row>
    <row r="798" spans="1:77"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row>
    <row r="799" spans="1:77"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row>
    <row r="800" spans="1:77"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row>
    <row r="801" spans="1:77"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row>
    <row r="802" spans="1:77"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row>
    <row r="803" spans="1:77"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row>
    <row r="804" spans="1:77"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c r="BL804" s="7"/>
      <c r="BM804" s="7"/>
      <c r="BN804" s="7"/>
      <c r="BO804" s="7"/>
      <c r="BP804" s="7"/>
      <c r="BQ804" s="7"/>
      <c r="BR804" s="7"/>
      <c r="BS804" s="7"/>
      <c r="BT804" s="7"/>
      <c r="BU804" s="7"/>
      <c r="BV804" s="7"/>
      <c r="BW804" s="7"/>
      <c r="BX804" s="7"/>
      <c r="BY804" s="7"/>
    </row>
    <row r="805" spans="1:77"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row>
    <row r="806" spans="1:77"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c r="BL806" s="7"/>
      <c r="BM806" s="7"/>
      <c r="BN806" s="7"/>
      <c r="BO806" s="7"/>
      <c r="BP806" s="7"/>
      <c r="BQ806" s="7"/>
      <c r="BR806" s="7"/>
      <c r="BS806" s="7"/>
      <c r="BT806" s="7"/>
      <c r="BU806" s="7"/>
      <c r="BV806" s="7"/>
      <c r="BW806" s="7"/>
      <c r="BX806" s="7"/>
      <c r="BY806" s="7"/>
    </row>
    <row r="807" spans="1:77"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row>
    <row r="808" spans="1:77"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c r="BL808" s="7"/>
      <c r="BM808" s="7"/>
      <c r="BN808" s="7"/>
      <c r="BO808" s="7"/>
      <c r="BP808" s="7"/>
      <c r="BQ808" s="7"/>
      <c r="BR808" s="7"/>
      <c r="BS808" s="7"/>
      <c r="BT808" s="7"/>
      <c r="BU808" s="7"/>
      <c r="BV808" s="7"/>
      <c r="BW808" s="7"/>
      <c r="BX808" s="7"/>
      <c r="BY808" s="7"/>
    </row>
    <row r="809" spans="1:77"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c r="BL809" s="7"/>
      <c r="BM809" s="7"/>
      <c r="BN809" s="7"/>
      <c r="BO809" s="7"/>
      <c r="BP809" s="7"/>
      <c r="BQ809" s="7"/>
      <c r="BR809" s="7"/>
      <c r="BS809" s="7"/>
      <c r="BT809" s="7"/>
      <c r="BU809" s="7"/>
      <c r="BV809" s="7"/>
      <c r="BW809" s="7"/>
      <c r="BX809" s="7"/>
      <c r="BY809" s="7"/>
    </row>
    <row r="810" spans="1:77"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row>
    <row r="811" spans="1:77"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c r="BL811" s="7"/>
      <c r="BM811" s="7"/>
      <c r="BN811" s="7"/>
      <c r="BO811" s="7"/>
      <c r="BP811" s="7"/>
      <c r="BQ811" s="7"/>
      <c r="BR811" s="7"/>
      <c r="BS811" s="7"/>
      <c r="BT811" s="7"/>
      <c r="BU811" s="7"/>
      <c r="BV811" s="7"/>
      <c r="BW811" s="7"/>
      <c r="BX811" s="7"/>
      <c r="BY811" s="7"/>
    </row>
    <row r="812" spans="1:77"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c r="BL812" s="7"/>
      <c r="BM812" s="7"/>
      <c r="BN812" s="7"/>
      <c r="BO812" s="7"/>
      <c r="BP812" s="7"/>
      <c r="BQ812" s="7"/>
      <c r="BR812" s="7"/>
      <c r="BS812" s="7"/>
      <c r="BT812" s="7"/>
      <c r="BU812" s="7"/>
      <c r="BV812" s="7"/>
      <c r="BW812" s="7"/>
      <c r="BX812" s="7"/>
      <c r="BY812" s="7"/>
    </row>
    <row r="813" spans="1:77"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c r="BL813" s="7"/>
      <c r="BM813" s="7"/>
      <c r="BN813" s="7"/>
      <c r="BO813" s="7"/>
      <c r="BP813" s="7"/>
      <c r="BQ813" s="7"/>
      <c r="BR813" s="7"/>
      <c r="BS813" s="7"/>
      <c r="BT813" s="7"/>
      <c r="BU813" s="7"/>
      <c r="BV813" s="7"/>
      <c r="BW813" s="7"/>
      <c r="BX813" s="7"/>
      <c r="BY813" s="7"/>
    </row>
    <row r="814" spans="1:77"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row>
    <row r="815" spans="1:77"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c r="BL815" s="7"/>
      <c r="BM815" s="7"/>
      <c r="BN815" s="7"/>
      <c r="BO815" s="7"/>
      <c r="BP815" s="7"/>
      <c r="BQ815" s="7"/>
      <c r="BR815" s="7"/>
      <c r="BS815" s="7"/>
      <c r="BT815" s="7"/>
      <c r="BU815" s="7"/>
      <c r="BV815" s="7"/>
      <c r="BW815" s="7"/>
      <c r="BX815" s="7"/>
      <c r="BY815" s="7"/>
    </row>
    <row r="816" spans="1:77"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c r="BL816" s="7"/>
      <c r="BM816" s="7"/>
      <c r="BN816" s="7"/>
      <c r="BO816" s="7"/>
      <c r="BP816" s="7"/>
      <c r="BQ816" s="7"/>
      <c r="BR816" s="7"/>
      <c r="BS816" s="7"/>
      <c r="BT816" s="7"/>
      <c r="BU816" s="7"/>
      <c r="BV816" s="7"/>
      <c r="BW816" s="7"/>
      <c r="BX816" s="7"/>
      <c r="BY816" s="7"/>
    </row>
    <row r="817" spans="1:77"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c r="BL817" s="7"/>
      <c r="BM817" s="7"/>
      <c r="BN817" s="7"/>
      <c r="BO817" s="7"/>
      <c r="BP817" s="7"/>
      <c r="BQ817" s="7"/>
      <c r="BR817" s="7"/>
      <c r="BS817" s="7"/>
      <c r="BT817" s="7"/>
      <c r="BU817" s="7"/>
      <c r="BV817" s="7"/>
      <c r="BW817" s="7"/>
      <c r="BX817" s="7"/>
      <c r="BY817" s="7"/>
    </row>
    <row r="818" spans="1:77"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row>
    <row r="819" spans="1:77"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row>
    <row r="820" spans="1:77"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row>
    <row r="821" spans="1:77"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row>
    <row r="822" spans="1:77"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row>
    <row r="823" spans="1:77"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row>
    <row r="824" spans="1:77"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row>
    <row r="825" spans="1:77"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c r="BL825" s="7"/>
      <c r="BM825" s="7"/>
      <c r="BN825" s="7"/>
      <c r="BO825" s="7"/>
      <c r="BP825" s="7"/>
      <c r="BQ825" s="7"/>
      <c r="BR825" s="7"/>
      <c r="BS825" s="7"/>
      <c r="BT825" s="7"/>
      <c r="BU825" s="7"/>
      <c r="BV825" s="7"/>
      <c r="BW825" s="7"/>
      <c r="BX825" s="7"/>
      <c r="BY825" s="7"/>
    </row>
    <row r="826" spans="1:77"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row>
    <row r="827" spans="1:77"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c r="BL827" s="7"/>
      <c r="BM827" s="7"/>
      <c r="BN827" s="7"/>
      <c r="BO827" s="7"/>
      <c r="BP827" s="7"/>
      <c r="BQ827" s="7"/>
      <c r="BR827" s="7"/>
      <c r="BS827" s="7"/>
      <c r="BT827" s="7"/>
      <c r="BU827" s="7"/>
      <c r="BV827" s="7"/>
      <c r="BW827" s="7"/>
      <c r="BX827" s="7"/>
      <c r="BY827" s="7"/>
    </row>
    <row r="828" spans="1:77"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row>
    <row r="829" spans="1:77"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c r="BL829" s="7"/>
      <c r="BM829" s="7"/>
      <c r="BN829" s="7"/>
      <c r="BO829" s="7"/>
      <c r="BP829" s="7"/>
      <c r="BQ829" s="7"/>
      <c r="BR829" s="7"/>
      <c r="BS829" s="7"/>
      <c r="BT829" s="7"/>
      <c r="BU829" s="7"/>
      <c r="BV829" s="7"/>
      <c r="BW829" s="7"/>
      <c r="BX829" s="7"/>
      <c r="BY829" s="7"/>
    </row>
    <row r="830" spans="1:77"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c r="BL830" s="7"/>
      <c r="BM830" s="7"/>
      <c r="BN830" s="7"/>
      <c r="BO830" s="7"/>
      <c r="BP830" s="7"/>
      <c r="BQ830" s="7"/>
      <c r="BR830" s="7"/>
      <c r="BS830" s="7"/>
      <c r="BT830" s="7"/>
      <c r="BU830" s="7"/>
      <c r="BV830" s="7"/>
      <c r="BW830" s="7"/>
      <c r="BX830" s="7"/>
      <c r="BY830" s="7"/>
    </row>
    <row r="831" spans="1:77"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c r="BL831" s="7"/>
      <c r="BM831" s="7"/>
      <c r="BN831" s="7"/>
      <c r="BO831" s="7"/>
      <c r="BP831" s="7"/>
      <c r="BQ831" s="7"/>
      <c r="BR831" s="7"/>
      <c r="BS831" s="7"/>
      <c r="BT831" s="7"/>
      <c r="BU831" s="7"/>
      <c r="BV831" s="7"/>
      <c r="BW831" s="7"/>
      <c r="BX831" s="7"/>
      <c r="BY831" s="7"/>
    </row>
    <row r="832" spans="1:77"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row>
    <row r="833" spans="1:77"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row>
    <row r="834" spans="1:77"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c r="BL834" s="7"/>
      <c r="BM834" s="7"/>
      <c r="BN834" s="7"/>
      <c r="BO834" s="7"/>
      <c r="BP834" s="7"/>
      <c r="BQ834" s="7"/>
      <c r="BR834" s="7"/>
      <c r="BS834" s="7"/>
      <c r="BT834" s="7"/>
      <c r="BU834" s="7"/>
      <c r="BV834" s="7"/>
      <c r="BW834" s="7"/>
      <c r="BX834" s="7"/>
      <c r="BY834" s="7"/>
    </row>
    <row r="835" spans="1:77"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row>
    <row r="836" spans="1:77"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row>
    <row r="837" spans="1:77"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c r="BL837" s="7"/>
      <c r="BM837" s="7"/>
      <c r="BN837" s="7"/>
      <c r="BO837" s="7"/>
      <c r="BP837" s="7"/>
      <c r="BQ837" s="7"/>
      <c r="BR837" s="7"/>
      <c r="BS837" s="7"/>
      <c r="BT837" s="7"/>
      <c r="BU837" s="7"/>
      <c r="BV837" s="7"/>
      <c r="BW837" s="7"/>
      <c r="BX837" s="7"/>
      <c r="BY837" s="7"/>
    </row>
    <row r="838" spans="1:77"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row>
    <row r="839" spans="1:77"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row>
    <row r="840" spans="1:77"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c r="BL840" s="7"/>
      <c r="BM840" s="7"/>
      <c r="BN840" s="7"/>
      <c r="BO840" s="7"/>
      <c r="BP840" s="7"/>
      <c r="BQ840" s="7"/>
      <c r="BR840" s="7"/>
      <c r="BS840" s="7"/>
      <c r="BT840" s="7"/>
      <c r="BU840" s="7"/>
      <c r="BV840" s="7"/>
      <c r="BW840" s="7"/>
      <c r="BX840" s="7"/>
      <c r="BY840" s="7"/>
    </row>
    <row r="841" spans="1:77"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row>
    <row r="842" spans="1:77"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row>
    <row r="843" spans="1:77"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c r="BL843" s="7"/>
      <c r="BM843" s="7"/>
      <c r="BN843" s="7"/>
      <c r="BO843" s="7"/>
      <c r="BP843" s="7"/>
      <c r="BQ843" s="7"/>
      <c r="BR843" s="7"/>
      <c r="BS843" s="7"/>
      <c r="BT843" s="7"/>
      <c r="BU843" s="7"/>
      <c r="BV843" s="7"/>
      <c r="BW843" s="7"/>
      <c r="BX843" s="7"/>
      <c r="BY843" s="7"/>
    </row>
    <row r="844" spans="1:77"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c r="BL844" s="7"/>
      <c r="BM844" s="7"/>
      <c r="BN844" s="7"/>
      <c r="BO844" s="7"/>
      <c r="BP844" s="7"/>
      <c r="BQ844" s="7"/>
      <c r="BR844" s="7"/>
      <c r="BS844" s="7"/>
      <c r="BT844" s="7"/>
      <c r="BU844" s="7"/>
      <c r="BV844" s="7"/>
      <c r="BW844" s="7"/>
      <c r="BX844" s="7"/>
      <c r="BY844" s="7"/>
    </row>
    <row r="845" spans="1:77"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c r="BL845" s="7"/>
      <c r="BM845" s="7"/>
      <c r="BN845" s="7"/>
      <c r="BO845" s="7"/>
      <c r="BP845" s="7"/>
      <c r="BQ845" s="7"/>
      <c r="BR845" s="7"/>
      <c r="BS845" s="7"/>
      <c r="BT845" s="7"/>
      <c r="BU845" s="7"/>
      <c r="BV845" s="7"/>
      <c r="BW845" s="7"/>
      <c r="BX845" s="7"/>
      <c r="BY845" s="7"/>
    </row>
    <row r="846" spans="1:77"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row>
    <row r="847" spans="1:77"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row>
    <row r="848" spans="1:77"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row>
    <row r="849" spans="1:77"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row>
    <row r="850" spans="1:77"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row>
    <row r="851" spans="1:77"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row>
    <row r="852" spans="1:77"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row>
    <row r="853" spans="1:77"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row>
    <row r="854" spans="1:77"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row>
    <row r="855" spans="1:77"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row>
    <row r="856" spans="1:77"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row>
    <row r="857" spans="1:77"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row>
    <row r="858" spans="1:77"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row>
    <row r="859" spans="1:77"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row>
    <row r="860" spans="1:77"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row>
    <row r="861" spans="1:77"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c r="BL861" s="7"/>
      <c r="BM861" s="7"/>
      <c r="BN861" s="7"/>
      <c r="BO861" s="7"/>
      <c r="BP861" s="7"/>
      <c r="BQ861" s="7"/>
      <c r="BR861" s="7"/>
      <c r="BS861" s="7"/>
      <c r="BT861" s="7"/>
      <c r="BU861" s="7"/>
      <c r="BV861" s="7"/>
      <c r="BW861" s="7"/>
      <c r="BX861" s="7"/>
      <c r="BY861" s="7"/>
    </row>
    <row r="862" spans="1:77"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c r="BL862" s="7"/>
      <c r="BM862" s="7"/>
      <c r="BN862" s="7"/>
      <c r="BO862" s="7"/>
      <c r="BP862" s="7"/>
      <c r="BQ862" s="7"/>
      <c r="BR862" s="7"/>
      <c r="BS862" s="7"/>
      <c r="BT862" s="7"/>
      <c r="BU862" s="7"/>
      <c r="BV862" s="7"/>
      <c r="BW862" s="7"/>
      <c r="BX862" s="7"/>
      <c r="BY862" s="7"/>
    </row>
    <row r="863" spans="1:77"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c r="BL863" s="7"/>
      <c r="BM863" s="7"/>
      <c r="BN863" s="7"/>
      <c r="BO863" s="7"/>
      <c r="BP863" s="7"/>
      <c r="BQ863" s="7"/>
      <c r="BR863" s="7"/>
      <c r="BS863" s="7"/>
      <c r="BT863" s="7"/>
      <c r="BU863" s="7"/>
      <c r="BV863" s="7"/>
      <c r="BW863" s="7"/>
      <c r="BX863" s="7"/>
      <c r="BY863" s="7"/>
    </row>
    <row r="864" spans="1:77"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row>
    <row r="865" spans="1:77"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c r="BL865" s="7"/>
      <c r="BM865" s="7"/>
      <c r="BN865" s="7"/>
      <c r="BO865" s="7"/>
      <c r="BP865" s="7"/>
      <c r="BQ865" s="7"/>
      <c r="BR865" s="7"/>
      <c r="BS865" s="7"/>
      <c r="BT865" s="7"/>
      <c r="BU865" s="7"/>
      <c r="BV865" s="7"/>
      <c r="BW865" s="7"/>
      <c r="BX865" s="7"/>
      <c r="BY865" s="7"/>
    </row>
    <row r="866" spans="1:77"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row>
    <row r="867" spans="1:77"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row>
    <row r="868" spans="1:77"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row>
    <row r="869" spans="1:77"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row>
    <row r="870" spans="1:77"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c r="BL870" s="7"/>
      <c r="BM870" s="7"/>
      <c r="BN870" s="7"/>
      <c r="BO870" s="7"/>
      <c r="BP870" s="7"/>
      <c r="BQ870" s="7"/>
      <c r="BR870" s="7"/>
      <c r="BS870" s="7"/>
      <c r="BT870" s="7"/>
      <c r="BU870" s="7"/>
      <c r="BV870" s="7"/>
      <c r="BW870" s="7"/>
      <c r="BX870" s="7"/>
      <c r="BY870" s="7"/>
    </row>
    <row r="871" spans="1:77"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row>
    <row r="872" spans="1:77"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row>
    <row r="873" spans="1:77"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row>
    <row r="874" spans="1:77"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row>
    <row r="875" spans="1:77"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row>
    <row r="876" spans="1:77"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row>
    <row r="877" spans="1:77"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row>
    <row r="878" spans="1:77"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row>
    <row r="879" spans="1:77"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row>
    <row r="880" spans="1:77"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row>
    <row r="881" spans="1:77"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row>
    <row r="882" spans="1:77"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row>
    <row r="883" spans="1:77"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row>
    <row r="884" spans="1:77"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row>
    <row r="885" spans="1:77"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c r="BL885" s="7"/>
      <c r="BM885" s="7"/>
      <c r="BN885" s="7"/>
      <c r="BO885" s="7"/>
      <c r="BP885" s="7"/>
      <c r="BQ885" s="7"/>
      <c r="BR885" s="7"/>
      <c r="BS885" s="7"/>
      <c r="BT885" s="7"/>
      <c r="BU885" s="7"/>
      <c r="BV885" s="7"/>
      <c r="BW885" s="7"/>
      <c r="BX885" s="7"/>
      <c r="BY885" s="7"/>
    </row>
    <row r="886" spans="1:77"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row>
    <row r="887" spans="1:77"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row>
    <row r="888" spans="1:77"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row>
    <row r="889" spans="1:77"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c r="BL889" s="7"/>
      <c r="BM889" s="7"/>
      <c r="BN889" s="7"/>
      <c r="BO889" s="7"/>
      <c r="BP889" s="7"/>
      <c r="BQ889" s="7"/>
      <c r="BR889" s="7"/>
      <c r="BS889" s="7"/>
      <c r="BT889" s="7"/>
      <c r="BU889" s="7"/>
      <c r="BV889" s="7"/>
      <c r="BW889" s="7"/>
      <c r="BX889" s="7"/>
      <c r="BY889" s="7"/>
    </row>
    <row r="890" spans="1:77"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row>
    <row r="891" spans="1:77"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c r="BL891" s="7"/>
      <c r="BM891" s="7"/>
      <c r="BN891" s="7"/>
      <c r="BO891" s="7"/>
      <c r="BP891" s="7"/>
      <c r="BQ891" s="7"/>
      <c r="BR891" s="7"/>
      <c r="BS891" s="7"/>
      <c r="BT891" s="7"/>
      <c r="BU891" s="7"/>
      <c r="BV891" s="7"/>
      <c r="BW891" s="7"/>
      <c r="BX891" s="7"/>
      <c r="BY891" s="7"/>
    </row>
    <row r="892" spans="1:77"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c r="BL892" s="7"/>
      <c r="BM892" s="7"/>
      <c r="BN892" s="7"/>
      <c r="BO892" s="7"/>
      <c r="BP892" s="7"/>
      <c r="BQ892" s="7"/>
      <c r="BR892" s="7"/>
      <c r="BS892" s="7"/>
      <c r="BT892" s="7"/>
      <c r="BU892" s="7"/>
      <c r="BV892" s="7"/>
      <c r="BW892" s="7"/>
      <c r="BX892" s="7"/>
      <c r="BY892" s="7"/>
    </row>
    <row r="893" spans="1:77"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c r="BL893" s="7"/>
      <c r="BM893" s="7"/>
      <c r="BN893" s="7"/>
      <c r="BO893" s="7"/>
      <c r="BP893" s="7"/>
      <c r="BQ893" s="7"/>
      <c r="BR893" s="7"/>
      <c r="BS893" s="7"/>
      <c r="BT893" s="7"/>
      <c r="BU893" s="7"/>
      <c r="BV893" s="7"/>
      <c r="BW893" s="7"/>
      <c r="BX893" s="7"/>
      <c r="BY893" s="7"/>
    </row>
    <row r="894" spans="1:77"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row>
    <row r="895" spans="1:77"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c r="BL895" s="7"/>
      <c r="BM895" s="7"/>
      <c r="BN895" s="7"/>
      <c r="BO895" s="7"/>
      <c r="BP895" s="7"/>
      <c r="BQ895" s="7"/>
      <c r="BR895" s="7"/>
      <c r="BS895" s="7"/>
      <c r="BT895" s="7"/>
      <c r="BU895" s="7"/>
      <c r="BV895" s="7"/>
      <c r="BW895" s="7"/>
      <c r="BX895" s="7"/>
      <c r="BY895" s="7"/>
    </row>
    <row r="896" spans="1:77"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c r="BL896" s="7"/>
      <c r="BM896" s="7"/>
      <c r="BN896" s="7"/>
      <c r="BO896" s="7"/>
      <c r="BP896" s="7"/>
      <c r="BQ896" s="7"/>
      <c r="BR896" s="7"/>
      <c r="BS896" s="7"/>
      <c r="BT896" s="7"/>
      <c r="BU896" s="7"/>
      <c r="BV896" s="7"/>
      <c r="BW896" s="7"/>
      <c r="BX896" s="7"/>
      <c r="BY896" s="7"/>
    </row>
    <row r="897" spans="1:77"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row>
    <row r="898" spans="1:77"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row>
    <row r="899" spans="1:77"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row>
    <row r="900" spans="1:77"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row>
    <row r="901" spans="1:77"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row>
    <row r="902" spans="1:77"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c r="BL902" s="7"/>
      <c r="BM902" s="7"/>
      <c r="BN902" s="7"/>
      <c r="BO902" s="7"/>
      <c r="BP902" s="7"/>
      <c r="BQ902" s="7"/>
      <c r="BR902" s="7"/>
      <c r="BS902" s="7"/>
      <c r="BT902" s="7"/>
      <c r="BU902" s="7"/>
      <c r="BV902" s="7"/>
      <c r="BW902" s="7"/>
      <c r="BX902" s="7"/>
      <c r="BY902" s="7"/>
    </row>
    <row r="903" spans="1:77"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c r="BL903" s="7"/>
      <c r="BM903" s="7"/>
      <c r="BN903" s="7"/>
      <c r="BO903" s="7"/>
      <c r="BP903" s="7"/>
      <c r="BQ903" s="7"/>
      <c r="BR903" s="7"/>
      <c r="BS903" s="7"/>
      <c r="BT903" s="7"/>
      <c r="BU903" s="7"/>
      <c r="BV903" s="7"/>
      <c r="BW903" s="7"/>
      <c r="BX903" s="7"/>
      <c r="BY903" s="7"/>
    </row>
    <row r="904" spans="1:77"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row>
    <row r="905" spans="1:77"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row>
    <row r="906" spans="1:77"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row>
    <row r="907" spans="1:77"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row>
    <row r="908" spans="1:77"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row>
    <row r="909" spans="1:77"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row>
    <row r="910" spans="1:77"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row>
    <row r="911" spans="1:77"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row>
    <row r="912" spans="1:77"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row>
    <row r="913" spans="1:77"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c r="BL913" s="7"/>
      <c r="BM913" s="7"/>
      <c r="BN913" s="7"/>
      <c r="BO913" s="7"/>
      <c r="BP913" s="7"/>
      <c r="BQ913" s="7"/>
      <c r="BR913" s="7"/>
      <c r="BS913" s="7"/>
      <c r="BT913" s="7"/>
      <c r="BU913" s="7"/>
      <c r="BV913" s="7"/>
      <c r="BW913" s="7"/>
      <c r="BX913" s="7"/>
      <c r="BY913" s="7"/>
    </row>
    <row r="914" spans="1:77"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c r="BL914" s="7"/>
      <c r="BM914" s="7"/>
      <c r="BN914" s="7"/>
      <c r="BO914" s="7"/>
      <c r="BP914" s="7"/>
      <c r="BQ914" s="7"/>
      <c r="BR914" s="7"/>
      <c r="BS914" s="7"/>
      <c r="BT914" s="7"/>
      <c r="BU914" s="7"/>
      <c r="BV914" s="7"/>
      <c r="BW914" s="7"/>
      <c r="BX914" s="7"/>
      <c r="BY914" s="7"/>
    </row>
    <row r="915" spans="1:77"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row>
    <row r="916" spans="1:77"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c r="BL916" s="7"/>
      <c r="BM916" s="7"/>
      <c r="BN916" s="7"/>
      <c r="BO916" s="7"/>
      <c r="BP916" s="7"/>
      <c r="BQ916" s="7"/>
      <c r="BR916" s="7"/>
      <c r="BS916" s="7"/>
      <c r="BT916" s="7"/>
      <c r="BU916" s="7"/>
      <c r="BV916" s="7"/>
      <c r="BW916" s="7"/>
      <c r="BX916" s="7"/>
      <c r="BY916" s="7"/>
    </row>
    <row r="917" spans="1:77"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row>
    <row r="918" spans="1:77"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c r="BL918" s="7"/>
      <c r="BM918" s="7"/>
      <c r="BN918" s="7"/>
      <c r="BO918" s="7"/>
      <c r="BP918" s="7"/>
      <c r="BQ918" s="7"/>
      <c r="BR918" s="7"/>
      <c r="BS918" s="7"/>
      <c r="BT918" s="7"/>
      <c r="BU918" s="7"/>
      <c r="BV918" s="7"/>
      <c r="BW918" s="7"/>
      <c r="BX918" s="7"/>
      <c r="BY918" s="7"/>
    </row>
    <row r="919" spans="1:77"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c r="BL919" s="7"/>
      <c r="BM919" s="7"/>
      <c r="BN919" s="7"/>
      <c r="BO919" s="7"/>
      <c r="BP919" s="7"/>
      <c r="BQ919" s="7"/>
      <c r="BR919" s="7"/>
      <c r="BS919" s="7"/>
      <c r="BT919" s="7"/>
      <c r="BU919" s="7"/>
      <c r="BV919" s="7"/>
      <c r="BW919" s="7"/>
      <c r="BX919" s="7"/>
      <c r="BY919" s="7"/>
    </row>
    <row r="920" spans="1:77"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c r="BL920" s="7"/>
      <c r="BM920" s="7"/>
      <c r="BN920" s="7"/>
      <c r="BO920" s="7"/>
      <c r="BP920" s="7"/>
      <c r="BQ920" s="7"/>
      <c r="BR920" s="7"/>
      <c r="BS920" s="7"/>
      <c r="BT920" s="7"/>
      <c r="BU920" s="7"/>
      <c r="BV920" s="7"/>
      <c r="BW920" s="7"/>
      <c r="BX920" s="7"/>
      <c r="BY920" s="7"/>
    </row>
    <row r="921" spans="1:77"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c r="BL921" s="7"/>
      <c r="BM921" s="7"/>
      <c r="BN921" s="7"/>
      <c r="BO921" s="7"/>
      <c r="BP921" s="7"/>
      <c r="BQ921" s="7"/>
      <c r="BR921" s="7"/>
      <c r="BS921" s="7"/>
      <c r="BT921" s="7"/>
      <c r="BU921" s="7"/>
      <c r="BV921" s="7"/>
      <c r="BW921" s="7"/>
      <c r="BX921" s="7"/>
      <c r="BY921" s="7"/>
    </row>
    <row r="922" spans="1:77"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c r="BL922" s="7"/>
      <c r="BM922" s="7"/>
      <c r="BN922" s="7"/>
      <c r="BO922" s="7"/>
      <c r="BP922" s="7"/>
      <c r="BQ922" s="7"/>
      <c r="BR922" s="7"/>
      <c r="BS922" s="7"/>
      <c r="BT922" s="7"/>
      <c r="BU922" s="7"/>
      <c r="BV922" s="7"/>
      <c r="BW922" s="7"/>
      <c r="BX922" s="7"/>
      <c r="BY922" s="7"/>
    </row>
    <row r="923" spans="1:77"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c r="BL923" s="7"/>
      <c r="BM923" s="7"/>
      <c r="BN923" s="7"/>
      <c r="BO923" s="7"/>
      <c r="BP923" s="7"/>
      <c r="BQ923" s="7"/>
      <c r="BR923" s="7"/>
      <c r="BS923" s="7"/>
      <c r="BT923" s="7"/>
      <c r="BU923" s="7"/>
      <c r="BV923" s="7"/>
      <c r="BW923" s="7"/>
      <c r="BX923" s="7"/>
      <c r="BY923" s="7"/>
    </row>
    <row r="924" spans="1:77"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c r="BL924" s="7"/>
      <c r="BM924" s="7"/>
      <c r="BN924" s="7"/>
      <c r="BO924" s="7"/>
      <c r="BP924" s="7"/>
      <c r="BQ924" s="7"/>
      <c r="BR924" s="7"/>
      <c r="BS924" s="7"/>
      <c r="BT924" s="7"/>
      <c r="BU924" s="7"/>
      <c r="BV924" s="7"/>
      <c r="BW924" s="7"/>
      <c r="BX924" s="7"/>
      <c r="BY924" s="7"/>
    </row>
    <row r="925" spans="1:77"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row>
    <row r="926" spans="1:77"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row>
    <row r="927" spans="1:77"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row>
    <row r="928" spans="1:77"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row>
    <row r="929" spans="1:77"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row>
    <row r="930" spans="1:77"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row>
    <row r="931" spans="1:77"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c r="BL931" s="7"/>
      <c r="BM931" s="7"/>
      <c r="BN931" s="7"/>
      <c r="BO931" s="7"/>
      <c r="BP931" s="7"/>
      <c r="BQ931" s="7"/>
      <c r="BR931" s="7"/>
      <c r="BS931" s="7"/>
      <c r="BT931" s="7"/>
      <c r="BU931" s="7"/>
      <c r="BV931" s="7"/>
      <c r="BW931" s="7"/>
      <c r="BX931" s="7"/>
      <c r="BY931" s="7"/>
    </row>
    <row r="932" spans="1:77"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row>
    <row r="933" spans="1:77"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row>
    <row r="934" spans="1:77"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c r="BL934" s="7"/>
      <c r="BM934" s="7"/>
      <c r="BN934" s="7"/>
      <c r="BO934" s="7"/>
      <c r="BP934" s="7"/>
      <c r="BQ934" s="7"/>
      <c r="BR934" s="7"/>
      <c r="BS934" s="7"/>
      <c r="BT934" s="7"/>
      <c r="BU934" s="7"/>
      <c r="BV934" s="7"/>
      <c r="BW934" s="7"/>
      <c r="BX934" s="7"/>
      <c r="BY934" s="7"/>
    </row>
    <row r="935" spans="1:77"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c r="BL935" s="7"/>
      <c r="BM935" s="7"/>
      <c r="BN935" s="7"/>
      <c r="BO935" s="7"/>
      <c r="BP935" s="7"/>
      <c r="BQ935" s="7"/>
      <c r="BR935" s="7"/>
      <c r="BS935" s="7"/>
      <c r="BT935" s="7"/>
      <c r="BU935" s="7"/>
      <c r="BV935" s="7"/>
      <c r="BW935" s="7"/>
      <c r="BX935" s="7"/>
      <c r="BY935" s="7"/>
    </row>
    <row r="936" spans="1:77"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row>
    <row r="937" spans="1:77"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c r="BL937" s="7"/>
      <c r="BM937" s="7"/>
      <c r="BN937" s="7"/>
      <c r="BO937" s="7"/>
      <c r="BP937" s="7"/>
      <c r="BQ937" s="7"/>
      <c r="BR937" s="7"/>
      <c r="BS937" s="7"/>
      <c r="BT937" s="7"/>
      <c r="BU937" s="7"/>
      <c r="BV937" s="7"/>
      <c r="BW937" s="7"/>
      <c r="BX937" s="7"/>
      <c r="BY937" s="7"/>
    </row>
    <row r="938" spans="1:77"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row>
    <row r="939" spans="1:77"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c r="BL939" s="7"/>
      <c r="BM939" s="7"/>
      <c r="BN939" s="7"/>
      <c r="BO939" s="7"/>
      <c r="BP939" s="7"/>
      <c r="BQ939" s="7"/>
      <c r="BR939" s="7"/>
      <c r="BS939" s="7"/>
      <c r="BT939" s="7"/>
      <c r="BU939" s="7"/>
      <c r="BV939" s="7"/>
      <c r="BW939" s="7"/>
      <c r="BX939" s="7"/>
      <c r="BY939" s="7"/>
    </row>
    <row r="940" spans="1:77"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c r="BL940" s="7"/>
      <c r="BM940" s="7"/>
      <c r="BN940" s="7"/>
      <c r="BO940" s="7"/>
      <c r="BP940" s="7"/>
      <c r="BQ940" s="7"/>
      <c r="BR940" s="7"/>
      <c r="BS940" s="7"/>
      <c r="BT940" s="7"/>
      <c r="BU940" s="7"/>
      <c r="BV940" s="7"/>
      <c r="BW940" s="7"/>
      <c r="BX940" s="7"/>
      <c r="BY940" s="7"/>
    </row>
    <row r="941" spans="1:77"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c r="BL941" s="7"/>
      <c r="BM941" s="7"/>
      <c r="BN941" s="7"/>
      <c r="BO941" s="7"/>
      <c r="BP941" s="7"/>
      <c r="BQ941" s="7"/>
      <c r="BR941" s="7"/>
      <c r="BS941" s="7"/>
      <c r="BT941" s="7"/>
      <c r="BU941" s="7"/>
      <c r="BV941" s="7"/>
      <c r="BW941" s="7"/>
      <c r="BX941" s="7"/>
      <c r="BY941" s="7"/>
    </row>
    <row r="942" spans="1:77"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row>
    <row r="943" spans="1:77"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c r="BL943" s="7"/>
      <c r="BM943" s="7"/>
      <c r="BN943" s="7"/>
      <c r="BO943" s="7"/>
      <c r="BP943" s="7"/>
      <c r="BQ943" s="7"/>
      <c r="BR943" s="7"/>
      <c r="BS943" s="7"/>
      <c r="BT943" s="7"/>
      <c r="BU943" s="7"/>
      <c r="BV943" s="7"/>
      <c r="BW943" s="7"/>
      <c r="BX943" s="7"/>
      <c r="BY943" s="7"/>
    </row>
    <row r="944" spans="1:77"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c r="BL944" s="7"/>
      <c r="BM944" s="7"/>
      <c r="BN944" s="7"/>
      <c r="BO944" s="7"/>
      <c r="BP944" s="7"/>
      <c r="BQ944" s="7"/>
      <c r="BR944" s="7"/>
      <c r="BS944" s="7"/>
      <c r="BT944" s="7"/>
      <c r="BU944" s="7"/>
      <c r="BV944" s="7"/>
      <c r="BW944" s="7"/>
      <c r="BX944" s="7"/>
      <c r="BY944" s="7"/>
    </row>
    <row r="945" spans="1:77"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row>
    <row r="946" spans="1:77"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c r="BL946" s="7"/>
      <c r="BM946" s="7"/>
      <c r="BN946" s="7"/>
      <c r="BO946" s="7"/>
      <c r="BP946" s="7"/>
      <c r="BQ946" s="7"/>
      <c r="BR946" s="7"/>
      <c r="BS946" s="7"/>
      <c r="BT946" s="7"/>
      <c r="BU946" s="7"/>
      <c r="BV946" s="7"/>
      <c r="BW946" s="7"/>
      <c r="BX946" s="7"/>
      <c r="BY946" s="7"/>
    </row>
    <row r="947" spans="1:77"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row>
    <row r="948" spans="1:77"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row>
    <row r="949" spans="1:77"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row>
    <row r="950" spans="1:77"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c r="BL950" s="7"/>
      <c r="BM950" s="7"/>
      <c r="BN950" s="7"/>
      <c r="BO950" s="7"/>
      <c r="BP950" s="7"/>
      <c r="BQ950" s="7"/>
      <c r="BR950" s="7"/>
      <c r="BS950" s="7"/>
      <c r="BT950" s="7"/>
      <c r="BU950" s="7"/>
      <c r="BV950" s="7"/>
      <c r="BW950" s="7"/>
      <c r="BX950" s="7"/>
      <c r="BY950" s="7"/>
    </row>
    <row r="951" spans="1:77"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row>
    <row r="952" spans="1:77"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c r="BL952" s="7"/>
      <c r="BM952" s="7"/>
      <c r="BN952" s="7"/>
      <c r="BO952" s="7"/>
      <c r="BP952" s="7"/>
      <c r="BQ952" s="7"/>
      <c r="BR952" s="7"/>
      <c r="BS952" s="7"/>
      <c r="BT952" s="7"/>
      <c r="BU952" s="7"/>
      <c r="BV952" s="7"/>
      <c r="BW952" s="7"/>
      <c r="BX952" s="7"/>
      <c r="BY952" s="7"/>
    </row>
    <row r="953" spans="1:77"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row>
    <row r="954" spans="1:77"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row>
    <row r="955" spans="1:77"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row>
    <row r="956" spans="1:77"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row>
    <row r="957" spans="1:77"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c r="BL957" s="7"/>
      <c r="BM957" s="7"/>
      <c r="BN957" s="7"/>
      <c r="BO957" s="7"/>
      <c r="BP957" s="7"/>
      <c r="BQ957" s="7"/>
      <c r="BR957" s="7"/>
      <c r="BS957" s="7"/>
      <c r="BT957" s="7"/>
      <c r="BU957" s="7"/>
      <c r="BV957" s="7"/>
      <c r="BW957" s="7"/>
      <c r="BX957" s="7"/>
      <c r="BY957" s="7"/>
    </row>
    <row r="958" spans="1:77"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c r="BL958" s="7"/>
      <c r="BM958" s="7"/>
      <c r="BN958" s="7"/>
      <c r="BO958" s="7"/>
      <c r="BP958" s="7"/>
      <c r="BQ958" s="7"/>
      <c r="BR958" s="7"/>
      <c r="BS958" s="7"/>
      <c r="BT958" s="7"/>
      <c r="BU958" s="7"/>
      <c r="BV958" s="7"/>
      <c r="BW958" s="7"/>
      <c r="BX958" s="7"/>
      <c r="BY958" s="7"/>
    </row>
    <row r="959" spans="1:77"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row>
    <row r="960" spans="1:77"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row>
    <row r="961" spans="1:77"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c r="BL961" s="7"/>
      <c r="BM961" s="7"/>
      <c r="BN961" s="7"/>
      <c r="BO961" s="7"/>
      <c r="BP961" s="7"/>
      <c r="BQ961" s="7"/>
      <c r="BR961" s="7"/>
      <c r="BS961" s="7"/>
      <c r="BT961" s="7"/>
      <c r="BU961" s="7"/>
      <c r="BV961" s="7"/>
      <c r="BW961" s="7"/>
      <c r="BX961" s="7"/>
      <c r="BY961" s="7"/>
    </row>
    <row r="962" spans="1:77"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c r="BL962" s="7"/>
      <c r="BM962" s="7"/>
      <c r="BN962" s="7"/>
      <c r="BO962" s="7"/>
      <c r="BP962" s="7"/>
      <c r="BQ962" s="7"/>
      <c r="BR962" s="7"/>
      <c r="BS962" s="7"/>
      <c r="BT962" s="7"/>
      <c r="BU962" s="7"/>
      <c r="BV962" s="7"/>
      <c r="BW962" s="7"/>
      <c r="BX962" s="7"/>
      <c r="BY962" s="7"/>
    </row>
    <row r="963" spans="1:77"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c r="BL963" s="7"/>
      <c r="BM963" s="7"/>
      <c r="BN963" s="7"/>
      <c r="BO963" s="7"/>
      <c r="BP963" s="7"/>
      <c r="BQ963" s="7"/>
      <c r="BR963" s="7"/>
      <c r="BS963" s="7"/>
      <c r="BT963" s="7"/>
      <c r="BU963" s="7"/>
      <c r="BV963" s="7"/>
      <c r="BW963" s="7"/>
      <c r="BX963" s="7"/>
      <c r="BY963" s="7"/>
    </row>
    <row r="964" spans="1:77"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c r="BL964" s="7"/>
      <c r="BM964" s="7"/>
      <c r="BN964" s="7"/>
      <c r="BO964" s="7"/>
      <c r="BP964" s="7"/>
      <c r="BQ964" s="7"/>
      <c r="BR964" s="7"/>
      <c r="BS964" s="7"/>
      <c r="BT964" s="7"/>
      <c r="BU964" s="7"/>
      <c r="BV964" s="7"/>
      <c r="BW964" s="7"/>
      <c r="BX964" s="7"/>
      <c r="BY964" s="7"/>
    </row>
    <row r="965" spans="1:77"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row>
    <row r="966" spans="1:77"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row>
    <row r="967" spans="1:77"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row>
    <row r="968" spans="1:77"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row>
    <row r="969" spans="1:77"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row>
    <row r="970" spans="1:77"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row>
    <row r="971" spans="1:77"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row>
    <row r="972" spans="1:77"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row>
    <row r="973" spans="1:77"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row>
    <row r="974" spans="1:77"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row>
    <row r="975" spans="1:77"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c r="BL975" s="7"/>
      <c r="BM975" s="7"/>
      <c r="BN975" s="7"/>
      <c r="BO975" s="7"/>
      <c r="BP975" s="7"/>
      <c r="BQ975" s="7"/>
      <c r="BR975" s="7"/>
      <c r="BS975" s="7"/>
      <c r="BT975" s="7"/>
      <c r="BU975" s="7"/>
      <c r="BV975" s="7"/>
      <c r="BW975" s="7"/>
      <c r="BX975" s="7"/>
      <c r="BY975" s="7"/>
    </row>
    <row r="976" spans="1:77"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c r="BL976" s="7"/>
      <c r="BM976" s="7"/>
      <c r="BN976" s="7"/>
      <c r="BO976" s="7"/>
      <c r="BP976" s="7"/>
      <c r="BQ976" s="7"/>
      <c r="BR976" s="7"/>
      <c r="BS976" s="7"/>
      <c r="BT976" s="7"/>
      <c r="BU976" s="7"/>
      <c r="BV976" s="7"/>
      <c r="BW976" s="7"/>
      <c r="BX976" s="7"/>
      <c r="BY976" s="7"/>
    </row>
    <row r="977" spans="1:77"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row>
    <row r="978" spans="1:77"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row>
    <row r="979" spans="1:77"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row>
    <row r="980" spans="1:77"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row>
    <row r="981" spans="1:77"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row>
    <row r="982" spans="1:77"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c r="BL982" s="7"/>
      <c r="BM982" s="7"/>
      <c r="BN982" s="7"/>
      <c r="BO982" s="7"/>
      <c r="BP982" s="7"/>
      <c r="BQ982" s="7"/>
      <c r="BR982" s="7"/>
      <c r="BS982" s="7"/>
      <c r="BT982" s="7"/>
      <c r="BU982" s="7"/>
      <c r="BV982" s="7"/>
      <c r="BW982" s="7"/>
      <c r="BX982" s="7"/>
      <c r="BY982" s="7"/>
    </row>
    <row r="983" spans="1:77"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c r="BL983" s="7"/>
      <c r="BM983" s="7"/>
      <c r="BN983" s="7"/>
      <c r="BO983" s="7"/>
      <c r="BP983" s="7"/>
      <c r="BQ983" s="7"/>
      <c r="BR983" s="7"/>
      <c r="BS983" s="7"/>
      <c r="BT983" s="7"/>
      <c r="BU983" s="7"/>
      <c r="BV983" s="7"/>
      <c r="BW983" s="7"/>
      <c r="BX983" s="7"/>
      <c r="BY983" s="7"/>
    </row>
    <row r="984" spans="1:77"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c r="BL984" s="7"/>
      <c r="BM984" s="7"/>
      <c r="BN984" s="7"/>
      <c r="BO984" s="7"/>
      <c r="BP984" s="7"/>
      <c r="BQ984" s="7"/>
      <c r="BR984" s="7"/>
      <c r="BS984" s="7"/>
      <c r="BT984" s="7"/>
      <c r="BU984" s="7"/>
      <c r="BV984" s="7"/>
      <c r="BW984" s="7"/>
      <c r="BX984" s="7"/>
      <c r="BY984" s="7"/>
    </row>
    <row r="985" spans="1:77"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c r="BL985" s="7"/>
      <c r="BM985" s="7"/>
      <c r="BN985" s="7"/>
      <c r="BO985" s="7"/>
      <c r="BP985" s="7"/>
      <c r="BQ985" s="7"/>
      <c r="BR985" s="7"/>
      <c r="BS985" s="7"/>
      <c r="BT985" s="7"/>
      <c r="BU985" s="7"/>
      <c r="BV985" s="7"/>
      <c r="BW985" s="7"/>
      <c r="BX985" s="7"/>
      <c r="BY985" s="7"/>
    </row>
    <row r="986" spans="1:77"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row>
    <row r="987" spans="1:77"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row>
    <row r="988" spans="1:77"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c r="BL988" s="7"/>
      <c r="BM988" s="7"/>
      <c r="BN988" s="7"/>
      <c r="BO988" s="7"/>
      <c r="BP988" s="7"/>
      <c r="BQ988" s="7"/>
      <c r="BR988" s="7"/>
      <c r="BS988" s="7"/>
      <c r="BT988" s="7"/>
      <c r="BU988" s="7"/>
      <c r="BV988" s="7"/>
      <c r="BW988" s="7"/>
      <c r="BX988" s="7"/>
      <c r="BY988" s="7"/>
    </row>
    <row r="989" spans="1:77"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row>
    <row r="990" spans="1:77"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row>
    <row r="991" spans="1:77"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c r="BL991" s="7"/>
      <c r="BM991" s="7"/>
      <c r="BN991" s="7"/>
      <c r="BO991" s="7"/>
      <c r="BP991" s="7"/>
      <c r="BQ991" s="7"/>
      <c r="BR991" s="7"/>
      <c r="BS991" s="7"/>
      <c r="BT991" s="7"/>
      <c r="BU991" s="7"/>
      <c r="BV991" s="7"/>
      <c r="BW991" s="7"/>
      <c r="BX991" s="7"/>
      <c r="BY991" s="7"/>
    </row>
    <row r="992" spans="1:77"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row>
    <row r="993" spans="1:77"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row>
    <row r="994" spans="1:77"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c r="BL994" s="7"/>
      <c r="BM994" s="7"/>
      <c r="BN994" s="7"/>
      <c r="BO994" s="7"/>
      <c r="BP994" s="7"/>
      <c r="BQ994" s="7"/>
      <c r="BR994" s="7"/>
      <c r="BS994" s="7"/>
      <c r="BT994" s="7"/>
      <c r="BU994" s="7"/>
      <c r="BV994" s="7"/>
      <c r="BW994" s="7"/>
      <c r="BX994" s="7"/>
      <c r="BY994" s="7"/>
    </row>
    <row r="995" spans="1:77"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c r="BL995" s="7"/>
      <c r="BM995" s="7"/>
      <c r="BN995" s="7"/>
      <c r="BO995" s="7"/>
      <c r="BP995" s="7"/>
      <c r="BQ995" s="7"/>
      <c r="BR995" s="7"/>
      <c r="BS995" s="7"/>
      <c r="BT995" s="7"/>
      <c r="BU995" s="7"/>
      <c r="BV995" s="7"/>
      <c r="BW995" s="7"/>
      <c r="BX995" s="7"/>
      <c r="BY995" s="7"/>
    </row>
    <row r="996" spans="1:77"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c r="BL996" s="7"/>
      <c r="BM996" s="7"/>
      <c r="BN996" s="7"/>
      <c r="BO996" s="7"/>
      <c r="BP996" s="7"/>
      <c r="BQ996" s="7"/>
      <c r="BR996" s="7"/>
      <c r="BS996" s="7"/>
      <c r="BT996" s="7"/>
      <c r="BU996" s="7"/>
      <c r="BV996" s="7"/>
      <c r="BW996" s="7"/>
      <c r="BX996" s="7"/>
      <c r="BY996" s="7"/>
    </row>
    <row r="997" spans="1:77"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row>
    <row r="998" spans="1:77"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c r="BL998" s="7"/>
      <c r="BM998" s="7"/>
      <c r="BN998" s="7"/>
      <c r="BO998" s="7"/>
      <c r="BP998" s="7"/>
      <c r="BQ998" s="7"/>
      <c r="BR998" s="7"/>
      <c r="BS998" s="7"/>
      <c r="BT998" s="7"/>
      <c r="BU998" s="7"/>
      <c r="BV998" s="7"/>
      <c r="BW998" s="7"/>
      <c r="BX998" s="7"/>
      <c r="BY998" s="7"/>
    </row>
    <row r="999" spans="1:77"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c r="BL999" s="7"/>
      <c r="BM999" s="7"/>
      <c r="BN999" s="7"/>
      <c r="BO999" s="7"/>
      <c r="BP999" s="7"/>
      <c r="BQ999" s="7"/>
      <c r="BR999" s="7"/>
      <c r="BS999" s="7"/>
      <c r="BT999" s="7"/>
      <c r="BU999" s="7"/>
      <c r="BV999" s="7"/>
      <c r="BW999" s="7"/>
      <c r="BX999" s="7"/>
      <c r="BY999" s="7"/>
    </row>
    <row r="1000" spans="1:77"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row>
    <row r="1001" spans="1:77"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c r="BW1001" s="7"/>
      <c r="BX1001" s="7"/>
      <c r="BY1001" s="7"/>
    </row>
    <row r="1002" spans="1:77" x14ac:dyDescent="0.3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c r="BW1002" s="7"/>
      <c r="BX1002" s="7"/>
      <c r="BY1002" s="7"/>
    </row>
    <row r="1003" spans="1:77" x14ac:dyDescent="0.3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c r="BW1003" s="7"/>
      <c r="BX1003" s="7"/>
      <c r="BY1003" s="7"/>
    </row>
    <row r="1004" spans="1:77" x14ac:dyDescent="0.3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c r="BW1004" s="7"/>
      <c r="BX1004" s="7"/>
      <c r="BY1004" s="7"/>
    </row>
    <row r="1005" spans="1:77" x14ac:dyDescent="0.3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row>
    <row r="1006" spans="1:77" x14ac:dyDescent="0.3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c r="BW1006" s="7"/>
      <c r="BX1006" s="7"/>
      <c r="BY1006" s="7"/>
    </row>
    <row r="1007" spans="1:77" x14ac:dyDescent="0.3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c r="BW1007" s="7"/>
      <c r="BX1007" s="7"/>
      <c r="BY1007" s="7"/>
    </row>
    <row r="1008" spans="1:77" x14ac:dyDescent="0.3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c r="BW1008" s="7"/>
      <c r="BX1008" s="7"/>
      <c r="BY1008" s="7"/>
    </row>
    <row r="1009" spans="1:77" x14ac:dyDescent="0.3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row>
    <row r="1010" spans="1:77" x14ac:dyDescent="0.3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c r="BX1010" s="7"/>
      <c r="BY1010" s="7"/>
    </row>
    <row r="1011" spans="1:77" x14ac:dyDescent="0.3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row>
    <row r="1012" spans="1:77" x14ac:dyDescent="0.3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c r="BW1012" s="7"/>
      <c r="BX1012" s="7"/>
      <c r="BY1012" s="7"/>
    </row>
    <row r="1013" spans="1:77" x14ac:dyDescent="0.3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row>
    <row r="1014" spans="1:77" x14ac:dyDescent="0.3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c r="BL1014" s="7"/>
      <c r="BM1014" s="7"/>
      <c r="BN1014" s="7"/>
      <c r="BO1014" s="7"/>
      <c r="BP1014" s="7"/>
      <c r="BQ1014" s="7"/>
      <c r="BR1014" s="7"/>
      <c r="BS1014" s="7"/>
      <c r="BT1014" s="7"/>
      <c r="BU1014" s="7"/>
      <c r="BV1014" s="7"/>
      <c r="BW1014" s="7"/>
      <c r="BX1014" s="7"/>
      <c r="BY1014" s="7"/>
    </row>
    <row r="1015" spans="1:77" x14ac:dyDescent="0.3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row>
    <row r="1016" spans="1:77" x14ac:dyDescent="0.3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c r="BN1016" s="7"/>
      <c r="BO1016" s="7"/>
      <c r="BP1016" s="7"/>
      <c r="BQ1016" s="7"/>
      <c r="BR1016" s="7"/>
      <c r="BS1016" s="7"/>
      <c r="BT1016" s="7"/>
      <c r="BU1016" s="7"/>
      <c r="BV1016" s="7"/>
      <c r="BW1016" s="7"/>
      <c r="BX1016" s="7"/>
      <c r="BY1016" s="7"/>
    </row>
    <row r="1017" spans="1:77" x14ac:dyDescent="0.35">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c r="BW1017" s="7"/>
      <c r="BX1017" s="7"/>
      <c r="BY1017" s="7"/>
    </row>
    <row r="1018" spans="1:77" x14ac:dyDescent="0.3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c r="BN1018" s="7"/>
      <c r="BO1018" s="7"/>
      <c r="BP1018" s="7"/>
      <c r="BQ1018" s="7"/>
      <c r="BR1018" s="7"/>
      <c r="BS1018" s="7"/>
      <c r="BT1018" s="7"/>
      <c r="BU1018" s="7"/>
      <c r="BV1018" s="7"/>
      <c r="BW1018" s="7"/>
      <c r="BX1018" s="7"/>
      <c r="BY1018" s="7"/>
    </row>
    <row r="1019" spans="1:77" x14ac:dyDescent="0.35">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row>
    <row r="1020" spans="1:77" x14ac:dyDescent="0.3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c r="BN1020" s="7"/>
      <c r="BO1020" s="7"/>
      <c r="BP1020" s="7"/>
      <c r="BQ1020" s="7"/>
      <c r="BR1020" s="7"/>
      <c r="BS1020" s="7"/>
      <c r="BT1020" s="7"/>
      <c r="BU1020" s="7"/>
      <c r="BV1020" s="7"/>
      <c r="BW1020" s="7"/>
      <c r="BX1020" s="7"/>
      <c r="BY1020" s="7"/>
    </row>
    <row r="1021" spans="1:77" x14ac:dyDescent="0.35">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c r="BW1021" s="7"/>
      <c r="BX1021" s="7"/>
      <c r="BY1021" s="7"/>
    </row>
    <row r="1022" spans="1:77" x14ac:dyDescent="0.35">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c r="BL1022" s="7"/>
      <c r="BM1022" s="7"/>
      <c r="BN1022" s="7"/>
      <c r="BO1022" s="7"/>
      <c r="BP1022" s="7"/>
      <c r="BQ1022" s="7"/>
      <c r="BR1022" s="7"/>
      <c r="BS1022" s="7"/>
      <c r="BT1022" s="7"/>
      <c r="BU1022" s="7"/>
      <c r="BV1022" s="7"/>
      <c r="BW1022" s="7"/>
      <c r="BX1022" s="7"/>
      <c r="BY1022" s="7"/>
    </row>
    <row r="1023" spans="1:77" x14ac:dyDescent="0.35">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c r="BW1023" s="7"/>
      <c r="BX1023" s="7"/>
      <c r="BY1023" s="7"/>
    </row>
    <row r="1024" spans="1:77" x14ac:dyDescent="0.35">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c r="BN1024" s="7"/>
      <c r="BO1024" s="7"/>
      <c r="BP1024" s="7"/>
      <c r="BQ1024" s="7"/>
      <c r="BR1024" s="7"/>
      <c r="BS1024" s="7"/>
      <c r="BT1024" s="7"/>
      <c r="BU1024" s="7"/>
      <c r="BV1024" s="7"/>
      <c r="BW1024" s="7"/>
      <c r="BX1024" s="7"/>
      <c r="BY1024" s="7"/>
    </row>
    <row r="1025" spans="1:77" x14ac:dyDescent="0.3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c r="BW1025" s="7"/>
      <c r="BX1025" s="7"/>
      <c r="BY1025" s="7"/>
    </row>
    <row r="1026" spans="1:77" x14ac:dyDescent="0.35">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c r="BN1026" s="7"/>
      <c r="BO1026" s="7"/>
      <c r="BP1026" s="7"/>
      <c r="BQ1026" s="7"/>
      <c r="BR1026" s="7"/>
      <c r="BS1026" s="7"/>
      <c r="BT1026" s="7"/>
      <c r="BU1026" s="7"/>
      <c r="BV1026" s="7"/>
      <c r="BW1026" s="7"/>
      <c r="BX1026" s="7"/>
      <c r="BY1026" s="7"/>
    </row>
    <row r="1027" spans="1:77" x14ac:dyDescent="0.35">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c r="BW1027" s="7"/>
      <c r="BX1027" s="7"/>
      <c r="BY1027" s="7"/>
    </row>
    <row r="1028" spans="1:77" x14ac:dyDescent="0.35">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c r="BL1028" s="7"/>
      <c r="BM1028" s="7"/>
      <c r="BN1028" s="7"/>
      <c r="BO1028" s="7"/>
      <c r="BP1028" s="7"/>
      <c r="BQ1028" s="7"/>
      <c r="BR1028" s="7"/>
      <c r="BS1028" s="7"/>
      <c r="BT1028" s="7"/>
      <c r="BU1028" s="7"/>
      <c r="BV1028" s="7"/>
      <c r="BW1028" s="7"/>
      <c r="BX1028" s="7"/>
      <c r="BY1028" s="7"/>
    </row>
    <row r="1029" spans="1:77" x14ac:dyDescent="0.35">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c r="BW1029" s="7"/>
      <c r="BX1029" s="7"/>
      <c r="BY1029" s="7"/>
    </row>
    <row r="1030" spans="1:77" x14ac:dyDescent="0.35">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c r="BW1030" s="7"/>
      <c r="BX1030" s="7"/>
      <c r="BY1030" s="7"/>
    </row>
    <row r="1031" spans="1:77" x14ac:dyDescent="0.35">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row>
    <row r="1032" spans="1:77" x14ac:dyDescent="0.35">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c r="BN1032" s="7"/>
      <c r="BO1032" s="7"/>
      <c r="BP1032" s="7"/>
      <c r="BQ1032" s="7"/>
      <c r="BR1032" s="7"/>
      <c r="BS1032" s="7"/>
      <c r="BT1032" s="7"/>
      <c r="BU1032" s="7"/>
      <c r="BV1032" s="7"/>
      <c r="BW1032" s="7"/>
      <c r="BX1032" s="7"/>
      <c r="BY1032" s="7"/>
    </row>
    <row r="1033" spans="1:77" x14ac:dyDescent="0.35">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row>
    <row r="1034" spans="1:77" x14ac:dyDescent="0.35">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c r="BL1034" s="7"/>
      <c r="BM1034" s="7"/>
      <c r="BN1034" s="7"/>
      <c r="BO1034" s="7"/>
      <c r="BP1034" s="7"/>
      <c r="BQ1034" s="7"/>
      <c r="BR1034" s="7"/>
      <c r="BS1034" s="7"/>
      <c r="BT1034" s="7"/>
      <c r="BU1034" s="7"/>
      <c r="BV1034" s="7"/>
      <c r="BW1034" s="7"/>
      <c r="BX1034" s="7"/>
      <c r="BY1034" s="7"/>
    </row>
    <row r="1035" spans="1:77" x14ac:dyDescent="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c r="BW1035" s="7"/>
      <c r="BX1035" s="7"/>
      <c r="BY1035" s="7"/>
    </row>
    <row r="1036" spans="1:77" x14ac:dyDescent="0.35">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c r="BL1036" s="7"/>
      <c r="BM1036" s="7"/>
      <c r="BN1036" s="7"/>
      <c r="BO1036" s="7"/>
      <c r="BP1036" s="7"/>
      <c r="BQ1036" s="7"/>
      <c r="BR1036" s="7"/>
      <c r="BS1036" s="7"/>
      <c r="BT1036" s="7"/>
      <c r="BU1036" s="7"/>
      <c r="BV1036" s="7"/>
      <c r="BW1036" s="7"/>
      <c r="BX1036" s="7"/>
      <c r="BY1036" s="7"/>
    </row>
    <row r="1037" spans="1:77" x14ac:dyDescent="0.35">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row>
    <row r="1038" spans="1:77" x14ac:dyDescent="0.35">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c r="BL1038" s="7"/>
      <c r="BM1038" s="7"/>
      <c r="BN1038" s="7"/>
      <c r="BO1038" s="7"/>
      <c r="BP1038" s="7"/>
      <c r="BQ1038" s="7"/>
      <c r="BR1038" s="7"/>
      <c r="BS1038" s="7"/>
      <c r="BT1038" s="7"/>
      <c r="BU1038" s="7"/>
      <c r="BV1038" s="7"/>
      <c r="BW1038" s="7"/>
      <c r="BX1038" s="7"/>
      <c r="BY1038" s="7"/>
    </row>
    <row r="1039" spans="1:77" x14ac:dyDescent="0.35">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row>
    <row r="1040" spans="1:77" x14ac:dyDescent="0.35">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c r="BL1040" s="7"/>
      <c r="BM1040" s="7"/>
      <c r="BN1040" s="7"/>
      <c r="BO1040" s="7"/>
      <c r="BP1040" s="7"/>
      <c r="BQ1040" s="7"/>
      <c r="BR1040" s="7"/>
      <c r="BS1040" s="7"/>
      <c r="BT1040" s="7"/>
      <c r="BU1040" s="7"/>
      <c r="BV1040" s="7"/>
      <c r="BW1040" s="7"/>
      <c r="BX1040" s="7"/>
      <c r="BY1040" s="7"/>
    </row>
    <row r="1041" spans="1:77" x14ac:dyDescent="0.35">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row>
    <row r="1042" spans="1:77" x14ac:dyDescent="0.35">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c r="BL1042" s="7"/>
      <c r="BM1042" s="7"/>
      <c r="BN1042" s="7"/>
      <c r="BO1042" s="7"/>
      <c r="BP1042" s="7"/>
      <c r="BQ1042" s="7"/>
      <c r="BR1042" s="7"/>
      <c r="BS1042" s="7"/>
      <c r="BT1042" s="7"/>
      <c r="BU1042" s="7"/>
      <c r="BV1042" s="7"/>
      <c r="BW1042" s="7"/>
      <c r="BX1042" s="7"/>
      <c r="BY1042" s="7"/>
    </row>
    <row r="1043" spans="1:77" x14ac:dyDescent="0.35">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row>
    <row r="1044" spans="1:77" x14ac:dyDescent="0.35">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c r="BL1044" s="7"/>
      <c r="BM1044" s="7"/>
      <c r="BN1044" s="7"/>
      <c r="BO1044" s="7"/>
      <c r="BP1044" s="7"/>
      <c r="BQ1044" s="7"/>
      <c r="BR1044" s="7"/>
      <c r="BS1044" s="7"/>
      <c r="BT1044" s="7"/>
      <c r="BU1044" s="7"/>
      <c r="BV1044" s="7"/>
      <c r="BW1044" s="7"/>
      <c r="BX1044" s="7"/>
      <c r="BY1044" s="7"/>
    </row>
    <row r="1045" spans="1:77" x14ac:dyDescent="0.3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row>
    <row r="1046" spans="1:77" x14ac:dyDescent="0.35">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row>
    <row r="1047" spans="1:77" x14ac:dyDescent="0.35">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row>
    <row r="1048" spans="1:77" x14ac:dyDescent="0.35">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c r="BW1048" s="7"/>
      <c r="BX1048" s="7"/>
      <c r="BY1048" s="7"/>
    </row>
    <row r="1049" spans="1:77" x14ac:dyDescent="0.35">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row>
    <row r="1050" spans="1:77" x14ac:dyDescent="0.35">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c r="BL1050" s="7"/>
      <c r="BM1050" s="7"/>
      <c r="BN1050" s="7"/>
      <c r="BO1050" s="7"/>
      <c r="BP1050" s="7"/>
      <c r="BQ1050" s="7"/>
      <c r="BR1050" s="7"/>
      <c r="BS1050" s="7"/>
      <c r="BT1050" s="7"/>
      <c r="BU1050" s="7"/>
      <c r="BV1050" s="7"/>
      <c r="BW1050" s="7"/>
      <c r="BX1050" s="7"/>
      <c r="BY1050" s="7"/>
    </row>
    <row r="1051" spans="1:77" x14ac:dyDescent="0.35">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row>
    <row r="1052" spans="1:77" x14ac:dyDescent="0.35">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c r="BL1052" s="7"/>
      <c r="BM1052" s="7"/>
      <c r="BN1052" s="7"/>
      <c r="BO1052" s="7"/>
      <c r="BP1052" s="7"/>
      <c r="BQ1052" s="7"/>
      <c r="BR1052" s="7"/>
      <c r="BS1052" s="7"/>
      <c r="BT1052" s="7"/>
      <c r="BU1052" s="7"/>
      <c r="BV1052" s="7"/>
      <c r="BW1052" s="7"/>
      <c r="BX1052" s="7"/>
      <c r="BY1052" s="7"/>
    </row>
    <row r="1053" spans="1:77" x14ac:dyDescent="0.35">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row>
    <row r="1054" spans="1:77" x14ac:dyDescent="0.35">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row>
    <row r="1055" spans="1:77" x14ac:dyDescent="0.3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row>
    <row r="1056" spans="1:77" x14ac:dyDescent="0.35">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row>
    <row r="1057" spans="1:77" x14ac:dyDescent="0.35">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row>
    <row r="1058" spans="1:77" x14ac:dyDescent="0.35">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row>
    <row r="1059" spans="1:77" x14ac:dyDescent="0.35">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row>
    <row r="1060" spans="1:77" x14ac:dyDescent="0.35">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row>
    <row r="1061" spans="1:77" x14ac:dyDescent="0.35">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row>
    <row r="1062" spans="1:77" x14ac:dyDescent="0.35">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row>
    <row r="1063" spans="1:77" x14ac:dyDescent="0.35">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row>
    <row r="1064" spans="1:77" x14ac:dyDescent="0.35">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row>
    <row r="1065" spans="1:77" x14ac:dyDescent="0.3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row>
    <row r="1066" spans="1:77" x14ac:dyDescent="0.35">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c r="BW1066" s="7"/>
      <c r="BX1066" s="7"/>
      <c r="BY1066" s="7"/>
    </row>
    <row r="1067" spans="1:77" x14ac:dyDescent="0.35">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row>
    <row r="1068" spans="1:77" x14ac:dyDescent="0.35">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row>
    <row r="1069" spans="1:77" x14ac:dyDescent="0.35">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row>
    <row r="1070" spans="1:77" x14ac:dyDescent="0.35">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row>
    <row r="1071" spans="1:77" x14ac:dyDescent="0.35">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row>
    <row r="1072" spans="1:77" x14ac:dyDescent="0.35">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row>
    <row r="1073" spans="1:77" x14ac:dyDescent="0.35">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row>
    <row r="1074" spans="1:77" x14ac:dyDescent="0.35">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row>
    <row r="1075" spans="1:77" x14ac:dyDescent="0.3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c r="BW1075" s="7"/>
      <c r="BX1075" s="7"/>
      <c r="BY1075" s="7"/>
    </row>
    <row r="1076" spans="1:77" x14ac:dyDescent="0.35">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c r="BL1076" s="7"/>
      <c r="BM1076" s="7"/>
      <c r="BN1076" s="7"/>
      <c r="BO1076" s="7"/>
      <c r="BP1076" s="7"/>
      <c r="BQ1076" s="7"/>
      <c r="BR1076" s="7"/>
      <c r="BS1076" s="7"/>
      <c r="BT1076" s="7"/>
      <c r="BU1076" s="7"/>
      <c r="BV1076" s="7"/>
      <c r="BW1076" s="7"/>
      <c r="BX1076" s="7"/>
      <c r="BY1076" s="7"/>
    </row>
    <row r="1077" spans="1:77" x14ac:dyDescent="0.35">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row>
    <row r="1078" spans="1:77" x14ac:dyDescent="0.35">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row>
    <row r="1079" spans="1:77" x14ac:dyDescent="0.35">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c r="BW1079" s="7"/>
      <c r="BX1079" s="7"/>
      <c r="BY1079" s="7"/>
    </row>
    <row r="1080" spans="1:77" x14ac:dyDescent="0.35">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c r="BW1080" s="7"/>
      <c r="BX1080" s="7"/>
      <c r="BY1080" s="7"/>
    </row>
    <row r="1081" spans="1:77" x14ac:dyDescent="0.35">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row>
    <row r="1082" spans="1:77" x14ac:dyDescent="0.35">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c r="BY1082" s="7"/>
    </row>
    <row r="1083" spans="1:77" x14ac:dyDescent="0.35">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c r="BW1083" s="7"/>
      <c r="BX1083" s="7"/>
      <c r="BY1083" s="7"/>
    </row>
    <row r="1084" spans="1:77" x14ac:dyDescent="0.35">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c r="BL1084" s="7"/>
      <c r="BM1084" s="7"/>
      <c r="BN1084" s="7"/>
      <c r="BO1084" s="7"/>
      <c r="BP1084" s="7"/>
      <c r="BQ1084" s="7"/>
      <c r="BR1084" s="7"/>
      <c r="BS1084" s="7"/>
      <c r="BT1084" s="7"/>
      <c r="BU1084" s="7"/>
      <c r="BV1084" s="7"/>
      <c r="BW1084" s="7"/>
      <c r="BX1084" s="7"/>
      <c r="BY1084" s="7"/>
    </row>
    <row r="1085" spans="1:77" x14ac:dyDescent="0.3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c r="BW1085" s="7"/>
      <c r="BX1085" s="7"/>
      <c r="BY1085" s="7"/>
    </row>
    <row r="1086" spans="1:77" x14ac:dyDescent="0.35">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c r="BL1086" s="7"/>
      <c r="BM1086" s="7"/>
      <c r="BN1086" s="7"/>
      <c r="BO1086" s="7"/>
      <c r="BP1086" s="7"/>
      <c r="BQ1086" s="7"/>
      <c r="BR1086" s="7"/>
      <c r="BS1086" s="7"/>
      <c r="BT1086" s="7"/>
      <c r="BU1086" s="7"/>
      <c r="BV1086" s="7"/>
      <c r="BW1086" s="7"/>
      <c r="BX1086" s="7"/>
      <c r="BY1086" s="7"/>
    </row>
    <row r="1087" spans="1:77" x14ac:dyDescent="0.35">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c r="BW1087" s="7"/>
      <c r="BX1087" s="7"/>
      <c r="BY1087" s="7"/>
    </row>
    <row r="1088" spans="1:77" x14ac:dyDescent="0.35">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row>
    <row r="1089" spans="1:77" x14ac:dyDescent="0.35">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c r="BW1089" s="7"/>
      <c r="BX1089" s="7"/>
      <c r="BY1089" s="7"/>
    </row>
    <row r="1090" spans="1:77" x14ac:dyDescent="0.35">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c r="BL1090" s="7"/>
      <c r="BM1090" s="7"/>
      <c r="BN1090" s="7"/>
      <c r="BO1090" s="7"/>
      <c r="BP1090" s="7"/>
      <c r="BQ1090" s="7"/>
      <c r="BR1090" s="7"/>
      <c r="BS1090" s="7"/>
      <c r="BT1090" s="7"/>
      <c r="BU1090" s="7"/>
      <c r="BV1090" s="7"/>
      <c r="BW1090" s="7"/>
      <c r="BX1090" s="7"/>
      <c r="BY1090" s="7"/>
    </row>
    <row r="1091" spans="1:77" x14ac:dyDescent="0.35">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row>
    <row r="1092" spans="1:77" x14ac:dyDescent="0.35">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c r="BW1092" s="7"/>
      <c r="BX1092" s="7"/>
      <c r="BY1092" s="7"/>
    </row>
    <row r="1093" spans="1:77" x14ac:dyDescent="0.35">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row>
    <row r="1094" spans="1:77" x14ac:dyDescent="0.35">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c r="BW1094" s="7"/>
      <c r="BX1094" s="7"/>
      <c r="BY1094" s="7"/>
    </row>
    <row r="1095" spans="1:77" x14ac:dyDescent="0.3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row>
    <row r="1096" spans="1:77" x14ac:dyDescent="0.35">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c r="BW1096" s="7"/>
      <c r="BX1096" s="7"/>
      <c r="BY1096" s="7"/>
    </row>
    <row r="1097" spans="1:77" x14ac:dyDescent="0.35">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row>
    <row r="1098" spans="1:77" x14ac:dyDescent="0.35">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row>
    <row r="1099" spans="1:77" x14ac:dyDescent="0.35">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row>
    <row r="1100" spans="1:77" x14ac:dyDescent="0.35">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row>
    <row r="1101" spans="1:77" x14ac:dyDescent="0.35">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row>
    <row r="1102" spans="1:77" x14ac:dyDescent="0.35">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row>
    <row r="1103" spans="1:77" x14ac:dyDescent="0.35">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row>
    <row r="1104" spans="1:77" x14ac:dyDescent="0.35">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c r="BW1104" s="7"/>
      <c r="BX1104" s="7"/>
      <c r="BY1104" s="7"/>
    </row>
    <row r="1105" spans="1:77" x14ac:dyDescent="0.3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row>
    <row r="1106" spans="1:77" x14ac:dyDescent="0.35">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c r="BW1106" s="7"/>
      <c r="BX1106" s="7"/>
      <c r="BY1106" s="7"/>
    </row>
    <row r="1107" spans="1:77" x14ac:dyDescent="0.35">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c r="BW1107" s="7"/>
      <c r="BX1107" s="7"/>
      <c r="BY1107" s="7"/>
    </row>
    <row r="1108" spans="1:77" x14ac:dyDescent="0.35">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c r="BW1108" s="7"/>
      <c r="BX1108" s="7"/>
      <c r="BY1108" s="7"/>
    </row>
    <row r="1109" spans="1:77" x14ac:dyDescent="0.35">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c r="BW1109" s="7"/>
      <c r="BX1109" s="7"/>
      <c r="BY1109" s="7"/>
    </row>
    <row r="1110" spans="1:77" x14ac:dyDescent="0.35">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c r="BL1110" s="7"/>
      <c r="BM1110" s="7"/>
      <c r="BN1110" s="7"/>
      <c r="BO1110" s="7"/>
      <c r="BP1110" s="7"/>
      <c r="BQ1110" s="7"/>
      <c r="BR1110" s="7"/>
      <c r="BS1110" s="7"/>
      <c r="BT1110" s="7"/>
      <c r="BU1110" s="7"/>
      <c r="BV1110" s="7"/>
      <c r="BW1110" s="7"/>
      <c r="BX1110" s="7"/>
      <c r="BY1110" s="7"/>
    </row>
    <row r="1111" spans="1:77" x14ac:dyDescent="0.35">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row>
    <row r="1112" spans="1:77" x14ac:dyDescent="0.35">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c r="BL1112" s="7"/>
      <c r="BM1112" s="7"/>
      <c r="BN1112" s="7"/>
      <c r="BO1112" s="7"/>
      <c r="BP1112" s="7"/>
      <c r="BQ1112" s="7"/>
      <c r="BR1112" s="7"/>
      <c r="BS1112" s="7"/>
      <c r="BT1112" s="7"/>
      <c r="BU1112" s="7"/>
      <c r="BV1112" s="7"/>
      <c r="BW1112" s="7"/>
      <c r="BX1112" s="7"/>
      <c r="BY1112" s="7"/>
    </row>
    <row r="1113" spans="1:77" x14ac:dyDescent="0.35">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row>
    <row r="1114" spans="1:77" x14ac:dyDescent="0.35">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c r="BL1114" s="7"/>
      <c r="BM1114" s="7"/>
      <c r="BN1114" s="7"/>
      <c r="BO1114" s="7"/>
      <c r="BP1114" s="7"/>
      <c r="BQ1114" s="7"/>
      <c r="BR1114" s="7"/>
      <c r="BS1114" s="7"/>
      <c r="BT1114" s="7"/>
      <c r="BU1114" s="7"/>
      <c r="BV1114" s="7"/>
      <c r="BW1114" s="7"/>
      <c r="BX1114" s="7"/>
      <c r="BY1114" s="7"/>
    </row>
    <row r="1115" spans="1:77" x14ac:dyDescent="0.3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c r="BW1115" s="7"/>
      <c r="BX1115" s="7"/>
      <c r="BY1115" s="7"/>
    </row>
    <row r="1116" spans="1:77" x14ac:dyDescent="0.35">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c r="BL1116" s="7"/>
      <c r="BM1116" s="7"/>
      <c r="BN1116" s="7"/>
      <c r="BO1116" s="7"/>
      <c r="BP1116" s="7"/>
      <c r="BQ1116" s="7"/>
      <c r="BR1116" s="7"/>
      <c r="BS1116" s="7"/>
      <c r="BT1116" s="7"/>
      <c r="BU1116" s="7"/>
      <c r="BV1116" s="7"/>
      <c r="BW1116" s="7"/>
      <c r="BX1116" s="7"/>
      <c r="BY1116" s="7"/>
    </row>
    <row r="1117" spans="1:77" x14ac:dyDescent="0.35">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row>
    <row r="1118" spans="1:77" x14ac:dyDescent="0.35">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c r="BL1118" s="7"/>
      <c r="BM1118" s="7"/>
      <c r="BN1118" s="7"/>
      <c r="BO1118" s="7"/>
      <c r="BP1118" s="7"/>
      <c r="BQ1118" s="7"/>
      <c r="BR1118" s="7"/>
      <c r="BS1118" s="7"/>
      <c r="BT1118" s="7"/>
      <c r="BU1118" s="7"/>
      <c r="BV1118" s="7"/>
      <c r="BW1118" s="7"/>
      <c r="BX1118" s="7"/>
      <c r="BY1118" s="7"/>
    </row>
    <row r="1119" spans="1:77" x14ac:dyDescent="0.35">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row>
    <row r="1120" spans="1:77" x14ac:dyDescent="0.35">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c r="BW1120" s="7"/>
      <c r="BX1120" s="7"/>
      <c r="BY1120" s="7"/>
    </row>
    <row r="1121" spans="1:77" x14ac:dyDescent="0.35">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row>
    <row r="1122" spans="1:77" x14ac:dyDescent="0.35">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c r="BW1122" s="7"/>
      <c r="BX1122" s="7"/>
      <c r="BY1122" s="7"/>
    </row>
    <row r="1123" spans="1:77" x14ac:dyDescent="0.35">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c r="BW1123" s="7"/>
      <c r="BX1123" s="7"/>
      <c r="BY1123" s="7"/>
    </row>
    <row r="1124" spans="1:77" x14ac:dyDescent="0.35">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c r="BL1124" s="7"/>
      <c r="BM1124" s="7"/>
      <c r="BN1124" s="7"/>
      <c r="BO1124" s="7"/>
      <c r="BP1124" s="7"/>
      <c r="BQ1124" s="7"/>
      <c r="BR1124" s="7"/>
      <c r="BS1124" s="7"/>
      <c r="BT1124" s="7"/>
      <c r="BU1124" s="7"/>
      <c r="BV1124" s="7"/>
      <c r="BW1124" s="7"/>
      <c r="BX1124" s="7"/>
      <c r="BY1124" s="7"/>
    </row>
    <row r="1125" spans="1:77" x14ac:dyDescent="0.35">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c r="BY1125" s="7"/>
    </row>
    <row r="1126" spans="1:77" x14ac:dyDescent="0.35">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c r="BL1126" s="7"/>
      <c r="BM1126" s="7"/>
      <c r="BN1126" s="7"/>
      <c r="BO1126" s="7"/>
      <c r="BP1126" s="7"/>
      <c r="BQ1126" s="7"/>
      <c r="BR1126" s="7"/>
      <c r="BS1126" s="7"/>
      <c r="BT1126" s="7"/>
      <c r="BU1126" s="7"/>
      <c r="BV1126" s="7"/>
      <c r="BW1126" s="7"/>
      <c r="BX1126" s="7"/>
      <c r="BY1126" s="7"/>
    </row>
    <row r="1127" spans="1:77" x14ac:dyDescent="0.35">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c r="BW1127" s="7"/>
      <c r="BX1127" s="7"/>
      <c r="BY1127" s="7"/>
    </row>
    <row r="1128" spans="1:77" x14ac:dyDescent="0.35">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c r="BY1128" s="7"/>
    </row>
    <row r="1129" spans="1:77" x14ac:dyDescent="0.35">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c r="BW1129" s="7"/>
      <c r="BX1129" s="7"/>
      <c r="BY1129" s="7"/>
    </row>
    <row r="1130" spans="1:77" x14ac:dyDescent="0.35">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c r="BL1130" s="7"/>
      <c r="BM1130" s="7"/>
      <c r="BN1130" s="7"/>
      <c r="BO1130" s="7"/>
      <c r="BP1130" s="7"/>
      <c r="BQ1130" s="7"/>
      <c r="BR1130" s="7"/>
      <c r="BS1130" s="7"/>
      <c r="BT1130" s="7"/>
      <c r="BU1130" s="7"/>
      <c r="BV1130" s="7"/>
      <c r="BW1130" s="7"/>
      <c r="BX1130" s="7"/>
      <c r="BY1130" s="7"/>
    </row>
    <row r="1131" spans="1:77" x14ac:dyDescent="0.35">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c r="BW1131" s="7"/>
      <c r="BX1131" s="7"/>
      <c r="BY1131" s="7"/>
    </row>
    <row r="1132" spans="1:77" x14ac:dyDescent="0.35">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c r="BL1132" s="7"/>
      <c r="BM1132" s="7"/>
      <c r="BN1132" s="7"/>
      <c r="BO1132" s="7"/>
      <c r="BP1132" s="7"/>
      <c r="BQ1132" s="7"/>
      <c r="BR1132" s="7"/>
      <c r="BS1132" s="7"/>
      <c r="BT1132" s="7"/>
      <c r="BU1132" s="7"/>
      <c r="BV1132" s="7"/>
      <c r="BW1132" s="7"/>
      <c r="BX1132" s="7"/>
      <c r="BY1132" s="7"/>
    </row>
    <row r="1133" spans="1:77" x14ac:dyDescent="0.35">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c r="BW1133" s="7"/>
      <c r="BX1133" s="7"/>
      <c r="BY1133" s="7"/>
    </row>
    <row r="1134" spans="1:77" x14ac:dyDescent="0.35">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c r="BL1134" s="7"/>
      <c r="BM1134" s="7"/>
      <c r="BN1134" s="7"/>
      <c r="BO1134" s="7"/>
      <c r="BP1134" s="7"/>
      <c r="BQ1134" s="7"/>
      <c r="BR1134" s="7"/>
      <c r="BS1134" s="7"/>
      <c r="BT1134" s="7"/>
      <c r="BU1134" s="7"/>
      <c r="BV1134" s="7"/>
      <c r="BW1134" s="7"/>
      <c r="BX1134" s="7"/>
      <c r="BY1134" s="7"/>
    </row>
    <row r="1135" spans="1:77" x14ac:dyDescent="0.3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c r="BW1135" s="7"/>
      <c r="BX1135" s="7"/>
      <c r="BY1135" s="7"/>
    </row>
    <row r="1136" spans="1:77" x14ac:dyDescent="0.35">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c r="BL1136" s="7"/>
      <c r="BM1136" s="7"/>
      <c r="BN1136" s="7"/>
      <c r="BO1136" s="7"/>
      <c r="BP1136" s="7"/>
      <c r="BQ1136" s="7"/>
      <c r="BR1136" s="7"/>
      <c r="BS1136" s="7"/>
      <c r="BT1136" s="7"/>
      <c r="BU1136" s="7"/>
      <c r="BV1136" s="7"/>
      <c r="BW1136" s="7"/>
      <c r="BX1136" s="7"/>
      <c r="BY1136" s="7"/>
    </row>
    <row r="1137" spans="1:77" x14ac:dyDescent="0.35">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c r="BW1137" s="7"/>
      <c r="BX1137" s="7"/>
      <c r="BY1137" s="7"/>
    </row>
    <row r="1138" spans="1:77" x14ac:dyDescent="0.35">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c r="BW1138" s="7"/>
      <c r="BX1138" s="7"/>
      <c r="BY1138" s="7"/>
    </row>
    <row r="1139" spans="1:77" x14ac:dyDescent="0.35">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c r="BW1139" s="7"/>
      <c r="BX1139" s="7"/>
      <c r="BY1139" s="7"/>
    </row>
    <row r="1140" spans="1:77" x14ac:dyDescent="0.35">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c r="BL1140" s="7"/>
      <c r="BM1140" s="7"/>
      <c r="BN1140" s="7"/>
      <c r="BO1140" s="7"/>
      <c r="BP1140" s="7"/>
      <c r="BQ1140" s="7"/>
      <c r="BR1140" s="7"/>
      <c r="BS1140" s="7"/>
      <c r="BT1140" s="7"/>
      <c r="BU1140" s="7"/>
      <c r="BV1140" s="7"/>
      <c r="BW1140" s="7"/>
      <c r="BX1140" s="7"/>
      <c r="BY1140" s="7"/>
    </row>
    <row r="1141" spans="1:77" x14ac:dyDescent="0.35">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row>
    <row r="1142" spans="1:77" x14ac:dyDescent="0.35">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c r="BW1142" s="7"/>
      <c r="BX1142" s="7"/>
      <c r="BY1142" s="7"/>
    </row>
    <row r="1143" spans="1:77" x14ac:dyDescent="0.35">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c r="BW1143" s="7"/>
      <c r="BX1143" s="7"/>
      <c r="BY1143" s="7"/>
    </row>
    <row r="1144" spans="1:77" x14ac:dyDescent="0.35">
      <c r="A1144" s="7"/>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c r="BL1144" s="7"/>
      <c r="BM1144" s="7"/>
      <c r="BN1144" s="7"/>
      <c r="BO1144" s="7"/>
      <c r="BP1144" s="7"/>
      <c r="BQ1144" s="7"/>
      <c r="BR1144" s="7"/>
      <c r="BS1144" s="7"/>
      <c r="BT1144" s="7"/>
      <c r="BU1144" s="7"/>
      <c r="BV1144" s="7"/>
      <c r="BW1144" s="7"/>
      <c r="BX1144" s="7"/>
      <c r="BY1144" s="7"/>
    </row>
    <row r="1145" spans="1:77" x14ac:dyDescent="0.3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c r="BW1145" s="7"/>
      <c r="BX1145" s="7"/>
      <c r="BY1145" s="7"/>
    </row>
    <row r="1146" spans="1:77" x14ac:dyDescent="0.35">
      <c r="A1146" s="7"/>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c r="BL1146" s="7"/>
      <c r="BM1146" s="7"/>
      <c r="BN1146" s="7"/>
      <c r="BO1146" s="7"/>
      <c r="BP1146" s="7"/>
      <c r="BQ1146" s="7"/>
      <c r="BR1146" s="7"/>
      <c r="BS1146" s="7"/>
      <c r="BT1146" s="7"/>
      <c r="BU1146" s="7"/>
      <c r="BV1146" s="7"/>
      <c r="BW1146" s="7"/>
      <c r="BX1146" s="7"/>
      <c r="BY1146" s="7"/>
    </row>
    <row r="1147" spans="1:77" x14ac:dyDescent="0.35">
      <c r="A1147" s="7"/>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c r="BL1147" s="7"/>
      <c r="BM1147" s="7"/>
      <c r="BN1147" s="7"/>
      <c r="BO1147" s="7"/>
      <c r="BP1147" s="7"/>
      <c r="BQ1147" s="7"/>
      <c r="BR1147" s="7"/>
      <c r="BS1147" s="7"/>
      <c r="BT1147" s="7"/>
      <c r="BU1147" s="7"/>
      <c r="BV1147" s="7"/>
      <c r="BW1147" s="7"/>
      <c r="BX1147" s="7"/>
      <c r="BY1147" s="7"/>
    </row>
    <row r="1148" spans="1:77" x14ac:dyDescent="0.35">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7"/>
      <c r="BP1148" s="7"/>
      <c r="BQ1148" s="7"/>
      <c r="BR1148" s="7"/>
      <c r="BS1148" s="7"/>
      <c r="BT1148" s="7"/>
      <c r="BU1148" s="7"/>
      <c r="BV1148" s="7"/>
      <c r="BW1148" s="7"/>
      <c r="BX1148" s="7"/>
      <c r="BY1148" s="7"/>
    </row>
    <row r="1149" spans="1:77" x14ac:dyDescent="0.35">
      <c r="A1149" s="7"/>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c r="BN1149" s="7"/>
      <c r="BO1149" s="7"/>
      <c r="BP1149" s="7"/>
      <c r="BQ1149" s="7"/>
      <c r="BR1149" s="7"/>
      <c r="BS1149" s="7"/>
      <c r="BT1149" s="7"/>
      <c r="BU1149" s="7"/>
      <c r="BV1149" s="7"/>
      <c r="BW1149" s="7"/>
      <c r="BX1149" s="7"/>
      <c r="BY1149" s="7"/>
    </row>
    <row r="1150" spans="1:77" x14ac:dyDescent="0.35">
      <c r="A1150" s="7"/>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c r="BL1150" s="7"/>
      <c r="BM1150" s="7"/>
      <c r="BN1150" s="7"/>
      <c r="BO1150" s="7"/>
      <c r="BP1150" s="7"/>
      <c r="BQ1150" s="7"/>
      <c r="BR1150" s="7"/>
      <c r="BS1150" s="7"/>
      <c r="BT1150" s="7"/>
      <c r="BU1150" s="7"/>
      <c r="BV1150" s="7"/>
      <c r="BW1150" s="7"/>
      <c r="BX1150" s="7"/>
      <c r="BY1150" s="7"/>
    </row>
    <row r="1151" spans="1:77" x14ac:dyDescent="0.35">
      <c r="A1151" s="7"/>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c r="BN1151" s="7"/>
      <c r="BO1151" s="7"/>
      <c r="BP1151" s="7"/>
      <c r="BQ1151" s="7"/>
      <c r="BR1151" s="7"/>
      <c r="BS1151" s="7"/>
      <c r="BT1151" s="7"/>
      <c r="BU1151" s="7"/>
      <c r="BV1151" s="7"/>
      <c r="BW1151" s="7"/>
      <c r="BX1151" s="7"/>
      <c r="BY1151" s="7"/>
    </row>
    <row r="1152" spans="1:77" x14ac:dyDescent="0.35">
      <c r="A1152" s="7"/>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c r="BW1152" s="7"/>
      <c r="BX1152" s="7"/>
      <c r="BY1152" s="7"/>
    </row>
    <row r="1153" spans="1:77" x14ac:dyDescent="0.35">
      <c r="A1153" s="7"/>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c r="BW1153" s="7"/>
      <c r="BX1153" s="7"/>
      <c r="BY1153" s="7"/>
    </row>
    <row r="1154" spans="1:77" x14ac:dyDescent="0.35">
      <c r="A1154" s="7"/>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c r="BN1154" s="7"/>
      <c r="BO1154" s="7"/>
      <c r="BP1154" s="7"/>
      <c r="BQ1154" s="7"/>
      <c r="BR1154" s="7"/>
      <c r="BS1154" s="7"/>
      <c r="BT1154" s="7"/>
      <c r="BU1154" s="7"/>
      <c r="BV1154" s="7"/>
      <c r="BW1154" s="7"/>
      <c r="BX1154" s="7"/>
      <c r="BY1154" s="7"/>
    </row>
    <row r="1155" spans="1:77" x14ac:dyDescent="0.35">
      <c r="A1155" s="7"/>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row>
    <row r="1156" spans="1:77" x14ac:dyDescent="0.35">
      <c r="A1156" s="7"/>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c r="BN1156" s="7"/>
      <c r="BO1156" s="7"/>
      <c r="BP1156" s="7"/>
      <c r="BQ1156" s="7"/>
      <c r="BR1156" s="7"/>
      <c r="BS1156" s="7"/>
      <c r="BT1156" s="7"/>
      <c r="BU1156" s="7"/>
      <c r="BV1156" s="7"/>
      <c r="BW1156" s="7"/>
      <c r="BX1156" s="7"/>
      <c r="BY1156" s="7"/>
    </row>
    <row r="1157" spans="1:77" x14ac:dyDescent="0.35">
      <c r="A1157" s="7"/>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c r="BW1157" s="7"/>
      <c r="BX1157" s="7"/>
      <c r="BY1157" s="7"/>
    </row>
    <row r="1158" spans="1:77" x14ac:dyDescent="0.35">
      <c r="A1158" s="7"/>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c r="BL1158" s="7"/>
      <c r="BM1158" s="7"/>
      <c r="BN1158" s="7"/>
      <c r="BO1158" s="7"/>
      <c r="BP1158" s="7"/>
      <c r="BQ1158" s="7"/>
      <c r="BR1158" s="7"/>
      <c r="BS1158" s="7"/>
      <c r="BT1158" s="7"/>
      <c r="BU1158" s="7"/>
      <c r="BV1158" s="7"/>
      <c r="BW1158" s="7"/>
      <c r="BX1158" s="7"/>
      <c r="BY1158" s="7"/>
    </row>
    <row r="1159" spans="1:77" x14ac:dyDescent="0.35">
      <c r="A1159" s="7"/>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c r="BL1159" s="7"/>
      <c r="BM1159" s="7"/>
      <c r="BN1159" s="7"/>
      <c r="BO1159" s="7"/>
      <c r="BP1159" s="7"/>
      <c r="BQ1159" s="7"/>
      <c r="BR1159" s="7"/>
      <c r="BS1159" s="7"/>
      <c r="BT1159" s="7"/>
      <c r="BU1159" s="7"/>
      <c r="BV1159" s="7"/>
      <c r="BW1159" s="7"/>
      <c r="BX1159" s="7"/>
      <c r="BY1159" s="7"/>
    </row>
    <row r="1160" spans="1:77" x14ac:dyDescent="0.35">
      <c r="A1160" s="7"/>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c r="BL1160" s="7"/>
      <c r="BM1160" s="7"/>
      <c r="BN1160" s="7"/>
      <c r="BO1160" s="7"/>
      <c r="BP1160" s="7"/>
      <c r="BQ1160" s="7"/>
      <c r="BR1160" s="7"/>
      <c r="BS1160" s="7"/>
      <c r="BT1160" s="7"/>
      <c r="BU1160" s="7"/>
      <c r="BV1160" s="7"/>
      <c r="BW1160" s="7"/>
      <c r="BX1160" s="7"/>
      <c r="BY1160" s="7"/>
    </row>
    <row r="1161" spans="1:77" x14ac:dyDescent="0.35">
      <c r="A1161" s="7"/>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c r="BL1161" s="7"/>
      <c r="BM1161" s="7"/>
      <c r="BN1161" s="7"/>
      <c r="BO1161" s="7"/>
      <c r="BP1161" s="7"/>
      <c r="BQ1161" s="7"/>
      <c r="BR1161" s="7"/>
      <c r="BS1161" s="7"/>
      <c r="BT1161" s="7"/>
      <c r="BU1161" s="7"/>
      <c r="BV1161" s="7"/>
      <c r="BW1161" s="7"/>
      <c r="BX1161" s="7"/>
      <c r="BY1161" s="7"/>
    </row>
    <row r="1162" spans="1:77" x14ac:dyDescent="0.35">
      <c r="A1162" s="7"/>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c r="BN1162" s="7"/>
      <c r="BO1162" s="7"/>
      <c r="BP1162" s="7"/>
      <c r="BQ1162" s="7"/>
      <c r="BR1162" s="7"/>
      <c r="BS1162" s="7"/>
      <c r="BT1162" s="7"/>
      <c r="BU1162" s="7"/>
      <c r="BV1162" s="7"/>
      <c r="BW1162" s="7"/>
      <c r="BX1162" s="7"/>
      <c r="BY1162" s="7"/>
    </row>
    <row r="1163" spans="1:77" x14ac:dyDescent="0.35">
      <c r="A1163" s="7"/>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c r="BW1163" s="7"/>
      <c r="BX1163" s="7"/>
      <c r="BY1163" s="7"/>
    </row>
    <row r="1164" spans="1:77" x14ac:dyDescent="0.35">
      <c r="A1164" s="7"/>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c r="BL1164" s="7"/>
      <c r="BM1164" s="7"/>
      <c r="BN1164" s="7"/>
      <c r="BO1164" s="7"/>
      <c r="BP1164" s="7"/>
      <c r="BQ1164" s="7"/>
      <c r="BR1164" s="7"/>
      <c r="BS1164" s="7"/>
      <c r="BT1164" s="7"/>
      <c r="BU1164" s="7"/>
      <c r="BV1164" s="7"/>
      <c r="BW1164" s="7"/>
      <c r="BX1164" s="7"/>
      <c r="BY1164" s="7"/>
    </row>
    <row r="1165" spans="1:77" x14ac:dyDescent="0.35">
      <c r="A1165" s="7"/>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c r="BY1165" s="7"/>
    </row>
    <row r="1166" spans="1:77" x14ac:dyDescent="0.35">
      <c r="A1166" s="7"/>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c r="BN1166" s="7"/>
      <c r="BO1166" s="7"/>
      <c r="BP1166" s="7"/>
      <c r="BQ1166" s="7"/>
      <c r="BR1166" s="7"/>
      <c r="BS1166" s="7"/>
      <c r="BT1166" s="7"/>
      <c r="BU1166" s="7"/>
      <c r="BV1166" s="7"/>
      <c r="BW1166" s="7"/>
      <c r="BX1166" s="7"/>
      <c r="BY1166" s="7"/>
    </row>
    <row r="1167" spans="1:77" x14ac:dyDescent="0.35">
      <c r="A1167" s="7"/>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row>
    <row r="1168" spans="1:77" x14ac:dyDescent="0.35">
      <c r="A1168" s="7"/>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c r="BW1168" s="7"/>
      <c r="BX1168" s="7"/>
      <c r="BY1168" s="7"/>
    </row>
    <row r="1169" spans="1:77" x14ac:dyDescent="0.35">
      <c r="A1169" s="7"/>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row>
    <row r="1170" spans="1:77" x14ac:dyDescent="0.35">
      <c r="A1170" s="7"/>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c r="BL1170" s="7"/>
      <c r="BM1170" s="7"/>
      <c r="BN1170" s="7"/>
      <c r="BO1170" s="7"/>
      <c r="BP1170" s="7"/>
      <c r="BQ1170" s="7"/>
      <c r="BR1170" s="7"/>
      <c r="BS1170" s="7"/>
      <c r="BT1170" s="7"/>
      <c r="BU1170" s="7"/>
      <c r="BV1170" s="7"/>
      <c r="BW1170" s="7"/>
      <c r="BX1170" s="7"/>
      <c r="BY1170" s="7"/>
    </row>
    <row r="1171" spans="1:77" x14ac:dyDescent="0.35">
      <c r="A1171" s="7"/>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row>
    <row r="1172" spans="1:77" x14ac:dyDescent="0.35">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c r="BY1172" s="7"/>
    </row>
    <row r="1173" spans="1:77" x14ac:dyDescent="0.35">
      <c r="A1173" s="7"/>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row>
    <row r="1174" spans="1:77" x14ac:dyDescent="0.35">
      <c r="A1174" s="7"/>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c r="BN1174" s="7"/>
      <c r="BO1174" s="7"/>
      <c r="BP1174" s="7"/>
      <c r="BQ1174" s="7"/>
      <c r="BR1174" s="7"/>
      <c r="BS1174" s="7"/>
      <c r="BT1174" s="7"/>
      <c r="BU1174" s="7"/>
      <c r="BV1174" s="7"/>
      <c r="BW1174" s="7"/>
      <c r="BX1174" s="7"/>
      <c r="BY1174" s="7"/>
    </row>
    <row r="1175" spans="1:77" x14ac:dyDescent="0.35">
      <c r="A1175" s="7"/>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c r="BW1175" s="7"/>
      <c r="BX1175" s="7"/>
      <c r="BY1175" s="7"/>
    </row>
    <row r="1176" spans="1:77" x14ac:dyDescent="0.35">
      <c r="A1176" s="7"/>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c r="BL1176" s="7"/>
      <c r="BM1176" s="7"/>
      <c r="BN1176" s="7"/>
      <c r="BO1176" s="7"/>
      <c r="BP1176" s="7"/>
      <c r="BQ1176" s="7"/>
      <c r="BR1176" s="7"/>
      <c r="BS1176" s="7"/>
      <c r="BT1176" s="7"/>
      <c r="BU1176" s="7"/>
      <c r="BV1176" s="7"/>
      <c r="BW1176" s="7"/>
      <c r="BX1176" s="7"/>
      <c r="BY1176" s="7"/>
    </row>
    <row r="1177" spans="1:77" x14ac:dyDescent="0.35">
      <c r="A1177" s="7"/>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c r="BW1177" s="7"/>
      <c r="BX1177" s="7"/>
      <c r="BY1177" s="7"/>
    </row>
    <row r="1178" spans="1:77" x14ac:dyDescent="0.35">
      <c r="A1178" s="7"/>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c r="BL1178" s="7"/>
      <c r="BM1178" s="7"/>
      <c r="BN1178" s="7"/>
      <c r="BO1178" s="7"/>
      <c r="BP1178" s="7"/>
      <c r="BQ1178" s="7"/>
      <c r="BR1178" s="7"/>
      <c r="BS1178" s="7"/>
      <c r="BT1178" s="7"/>
      <c r="BU1178" s="7"/>
      <c r="BV1178" s="7"/>
      <c r="BW1178" s="7"/>
      <c r="BX1178" s="7"/>
      <c r="BY1178" s="7"/>
    </row>
    <row r="1179" spans="1:77" x14ac:dyDescent="0.35">
      <c r="A1179" s="7"/>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row>
    <row r="1180" spans="1:77" x14ac:dyDescent="0.35">
      <c r="A1180" s="7"/>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c r="BW1180" s="7"/>
      <c r="BX1180" s="7"/>
      <c r="BY1180" s="7"/>
    </row>
    <row r="1181" spans="1:77" x14ac:dyDescent="0.35">
      <c r="A1181" s="7"/>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c r="BW1181" s="7"/>
      <c r="BX1181" s="7"/>
      <c r="BY1181" s="7"/>
    </row>
    <row r="1182" spans="1:77" x14ac:dyDescent="0.35">
      <c r="A1182" s="7"/>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c r="BL1182" s="7"/>
      <c r="BM1182" s="7"/>
      <c r="BN1182" s="7"/>
      <c r="BO1182" s="7"/>
      <c r="BP1182" s="7"/>
      <c r="BQ1182" s="7"/>
      <c r="BR1182" s="7"/>
      <c r="BS1182" s="7"/>
      <c r="BT1182" s="7"/>
      <c r="BU1182" s="7"/>
      <c r="BV1182" s="7"/>
      <c r="BW1182" s="7"/>
      <c r="BX1182" s="7"/>
      <c r="BY1182" s="7"/>
    </row>
    <row r="1183" spans="1:77" x14ac:dyDescent="0.35">
      <c r="A1183" s="7"/>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c r="BW1183" s="7"/>
      <c r="BX1183" s="7"/>
      <c r="BY1183" s="7"/>
    </row>
    <row r="1184" spans="1:77" x14ac:dyDescent="0.35">
      <c r="A1184" s="7"/>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c r="BL1184" s="7"/>
      <c r="BM1184" s="7"/>
      <c r="BN1184" s="7"/>
      <c r="BO1184" s="7"/>
      <c r="BP1184" s="7"/>
      <c r="BQ1184" s="7"/>
      <c r="BR1184" s="7"/>
      <c r="BS1184" s="7"/>
      <c r="BT1184" s="7"/>
      <c r="BU1184" s="7"/>
      <c r="BV1184" s="7"/>
      <c r="BW1184" s="7"/>
      <c r="BX1184" s="7"/>
      <c r="BY1184" s="7"/>
    </row>
    <row r="1185" spans="1:77" x14ac:dyDescent="0.35">
      <c r="A1185" s="7"/>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row>
    <row r="1186" spans="1:77" x14ac:dyDescent="0.35">
      <c r="A1186" s="7"/>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c r="BL1186" s="7"/>
      <c r="BM1186" s="7"/>
      <c r="BN1186" s="7"/>
      <c r="BO1186" s="7"/>
      <c r="BP1186" s="7"/>
      <c r="BQ1186" s="7"/>
      <c r="BR1186" s="7"/>
      <c r="BS1186" s="7"/>
      <c r="BT1186" s="7"/>
      <c r="BU1186" s="7"/>
      <c r="BV1186" s="7"/>
      <c r="BW1186" s="7"/>
      <c r="BX1186" s="7"/>
      <c r="BY1186" s="7"/>
    </row>
    <row r="1187" spans="1:77" x14ac:dyDescent="0.35">
      <c r="A1187" s="7"/>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c r="BL1187" s="7"/>
      <c r="BM1187" s="7"/>
      <c r="BN1187" s="7"/>
      <c r="BO1187" s="7"/>
      <c r="BP1187" s="7"/>
      <c r="BQ1187" s="7"/>
      <c r="BR1187" s="7"/>
      <c r="BS1187" s="7"/>
      <c r="BT1187" s="7"/>
      <c r="BU1187" s="7"/>
      <c r="BV1187" s="7"/>
      <c r="BW1187" s="7"/>
      <c r="BX1187" s="7"/>
      <c r="BY1187" s="7"/>
    </row>
    <row r="1188" spans="1:77" x14ac:dyDescent="0.35">
      <c r="A1188" s="7"/>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c r="BL1188" s="7"/>
      <c r="BM1188" s="7"/>
      <c r="BN1188" s="7"/>
      <c r="BO1188" s="7"/>
      <c r="BP1188" s="7"/>
      <c r="BQ1188" s="7"/>
      <c r="BR1188" s="7"/>
      <c r="BS1188" s="7"/>
      <c r="BT1188" s="7"/>
      <c r="BU1188" s="7"/>
      <c r="BV1188" s="7"/>
      <c r="BW1188" s="7"/>
      <c r="BX1188" s="7"/>
      <c r="BY1188" s="7"/>
    </row>
    <row r="1189" spans="1:77" x14ac:dyDescent="0.35">
      <c r="A1189" s="7"/>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c r="BL1189" s="7"/>
      <c r="BM1189" s="7"/>
      <c r="BN1189" s="7"/>
      <c r="BO1189" s="7"/>
      <c r="BP1189" s="7"/>
      <c r="BQ1189" s="7"/>
      <c r="BR1189" s="7"/>
      <c r="BS1189" s="7"/>
      <c r="BT1189" s="7"/>
      <c r="BU1189" s="7"/>
      <c r="BV1189" s="7"/>
      <c r="BW1189" s="7"/>
      <c r="BX1189" s="7"/>
      <c r="BY1189" s="7"/>
    </row>
    <row r="1190" spans="1:77" x14ac:dyDescent="0.35">
      <c r="A1190" s="7"/>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c r="BL1190" s="7"/>
      <c r="BM1190" s="7"/>
      <c r="BN1190" s="7"/>
      <c r="BO1190" s="7"/>
      <c r="BP1190" s="7"/>
      <c r="BQ1190" s="7"/>
      <c r="BR1190" s="7"/>
      <c r="BS1190" s="7"/>
      <c r="BT1190" s="7"/>
      <c r="BU1190" s="7"/>
      <c r="BV1190" s="7"/>
      <c r="BW1190" s="7"/>
      <c r="BX1190" s="7"/>
      <c r="BY1190" s="7"/>
    </row>
    <row r="1191" spans="1:77" x14ac:dyDescent="0.35">
      <c r="A1191" s="7"/>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c r="BL1191" s="7"/>
      <c r="BM1191" s="7"/>
      <c r="BN1191" s="7"/>
      <c r="BO1191" s="7"/>
      <c r="BP1191" s="7"/>
      <c r="BQ1191" s="7"/>
      <c r="BR1191" s="7"/>
      <c r="BS1191" s="7"/>
      <c r="BT1191" s="7"/>
      <c r="BU1191" s="7"/>
      <c r="BV1191" s="7"/>
      <c r="BW1191" s="7"/>
      <c r="BX1191" s="7"/>
      <c r="BY1191" s="7"/>
    </row>
    <row r="1192" spans="1:77" x14ac:dyDescent="0.35">
      <c r="A1192" s="7"/>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c r="BL1192" s="7"/>
      <c r="BM1192" s="7"/>
      <c r="BN1192" s="7"/>
      <c r="BO1192" s="7"/>
      <c r="BP1192" s="7"/>
      <c r="BQ1192" s="7"/>
      <c r="BR1192" s="7"/>
      <c r="BS1192" s="7"/>
      <c r="BT1192" s="7"/>
      <c r="BU1192" s="7"/>
      <c r="BV1192" s="7"/>
      <c r="BW1192" s="7"/>
      <c r="BX1192" s="7"/>
      <c r="BY1192" s="7"/>
    </row>
    <row r="1193" spans="1:77" x14ac:dyDescent="0.35">
      <c r="A1193" s="7"/>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c r="BL1193" s="7"/>
      <c r="BM1193" s="7"/>
      <c r="BN1193" s="7"/>
      <c r="BO1193" s="7"/>
      <c r="BP1193" s="7"/>
      <c r="BQ1193" s="7"/>
      <c r="BR1193" s="7"/>
      <c r="BS1193" s="7"/>
      <c r="BT1193" s="7"/>
      <c r="BU1193" s="7"/>
      <c r="BV1193" s="7"/>
      <c r="BW1193" s="7"/>
      <c r="BX1193" s="7"/>
      <c r="BY1193" s="7"/>
    </row>
    <row r="1194" spans="1:77" x14ac:dyDescent="0.35">
      <c r="A1194" s="7"/>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c r="BE1194" s="7"/>
      <c r="BF1194" s="7"/>
      <c r="BG1194" s="7"/>
      <c r="BH1194" s="7"/>
      <c r="BI1194" s="7"/>
      <c r="BJ1194" s="7"/>
      <c r="BK1194" s="7"/>
      <c r="BL1194" s="7"/>
      <c r="BM1194" s="7"/>
      <c r="BN1194" s="7"/>
      <c r="BO1194" s="7"/>
      <c r="BP1194" s="7"/>
      <c r="BQ1194" s="7"/>
      <c r="BR1194" s="7"/>
      <c r="BS1194" s="7"/>
      <c r="BT1194" s="7"/>
      <c r="BU1194" s="7"/>
      <c r="BV1194" s="7"/>
      <c r="BW1194" s="7"/>
      <c r="BX1194" s="7"/>
      <c r="BY1194" s="7"/>
    </row>
    <row r="1195" spans="1:77" x14ac:dyDescent="0.35">
      <c r="A1195" s="7"/>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c r="BL1195" s="7"/>
      <c r="BM1195" s="7"/>
      <c r="BN1195" s="7"/>
      <c r="BO1195" s="7"/>
      <c r="BP1195" s="7"/>
      <c r="BQ1195" s="7"/>
      <c r="BR1195" s="7"/>
      <c r="BS1195" s="7"/>
      <c r="BT1195" s="7"/>
      <c r="BU1195" s="7"/>
      <c r="BV1195" s="7"/>
      <c r="BW1195" s="7"/>
      <c r="BX1195" s="7"/>
      <c r="BY1195" s="7"/>
    </row>
    <row r="1196" spans="1:77" x14ac:dyDescent="0.35">
      <c r="A1196" s="7"/>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c r="BL1196" s="7"/>
      <c r="BM1196" s="7"/>
      <c r="BN1196" s="7"/>
      <c r="BO1196" s="7"/>
      <c r="BP1196" s="7"/>
      <c r="BQ1196" s="7"/>
      <c r="BR1196" s="7"/>
      <c r="BS1196" s="7"/>
      <c r="BT1196" s="7"/>
      <c r="BU1196" s="7"/>
      <c r="BV1196" s="7"/>
      <c r="BW1196" s="7"/>
      <c r="BX1196" s="7"/>
      <c r="BY1196" s="7"/>
    </row>
    <row r="1197" spans="1:77" x14ac:dyDescent="0.35">
      <c r="A1197" s="7"/>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c r="BL1197" s="7"/>
      <c r="BM1197" s="7"/>
      <c r="BN1197" s="7"/>
      <c r="BO1197" s="7"/>
      <c r="BP1197" s="7"/>
      <c r="BQ1197" s="7"/>
      <c r="BR1197" s="7"/>
      <c r="BS1197" s="7"/>
      <c r="BT1197" s="7"/>
      <c r="BU1197" s="7"/>
      <c r="BV1197" s="7"/>
      <c r="BW1197" s="7"/>
      <c r="BX1197" s="7"/>
      <c r="BY1197" s="7"/>
    </row>
    <row r="1198" spans="1:77" x14ac:dyDescent="0.35">
      <c r="A1198" s="7"/>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c r="BL1198" s="7"/>
      <c r="BM1198" s="7"/>
      <c r="BN1198" s="7"/>
      <c r="BO1198" s="7"/>
      <c r="BP1198" s="7"/>
      <c r="BQ1198" s="7"/>
      <c r="BR1198" s="7"/>
      <c r="BS1198" s="7"/>
      <c r="BT1198" s="7"/>
      <c r="BU1198" s="7"/>
      <c r="BV1198" s="7"/>
      <c r="BW1198" s="7"/>
      <c r="BX1198" s="7"/>
      <c r="BY1198" s="7"/>
    </row>
    <row r="1199" spans="1:77" x14ac:dyDescent="0.35">
      <c r="A1199" s="7"/>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c r="BL1199" s="7"/>
      <c r="BM1199" s="7"/>
      <c r="BN1199" s="7"/>
      <c r="BO1199" s="7"/>
      <c r="BP1199" s="7"/>
      <c r="BQ1199" s="7"/>
      <c r="BR1199" s="7"/>
      <c r="BS1199" s="7"/>
      <c r="BT1199" s="7"/>
      <c r="BU1199" s="7"/>
      <c r="BV1199" s="7"/>
      <c r="BW1199" s="7"/>
      <c r="BX1199" s="7"/>
      <c r="BY1199" s="7"/>
    </row>
    <row r="1200" spans="1:77" x14ac:dyDescent="0.35">
      <c r="A1200" s="7"/>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c r="BL1200" s="7"/>
      <c r="BM1200" s="7"/>
      <c r="BN1200" s="7"/>
      <c r="BO1200" s="7"/>
      <c r="BP1200" s="7"/>
      <c r="BQ1200" s="7"/>
      <c r="BR1200" s="7"/>
      <c r="BS1200" s="7"/>
      <c r="BT1200" s="7"/>
      <c r="BU1200" s="7"/>
      <c r="BV1200" s="7"/>
      <c r="BW1200" s="7"/>
      <c r="BX1200" s="7"/>
      <c r="BY1200" s="7"/>
    </row>
    <row r="1201" spans="1:77" x14ac:dyDescent="0.35">
      <c r="A1201" s="7"/>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c r="BL1201" s="7"/>
      <c r="BM1201" s="7"/>
      <c r="BN1201" s="7"/>
      <c r="BO1201" s="7"/>
      <c r="BP1201" s="7"/>
      <c r="BQ1201" s="7"/>
      <c r="BR1201" s="7"/>
      <c r="BS1201" s="7"/>
      <c r="BT1201" s="7"/>
      <c r="BU1201" s="7"/>
      <c r="BV1201" s="7"/>
      <c r="BW1201" s="7"/>
      <c r="BX1201" s="7"/>
      <c r="BY1201" s="7"/>
    </row>
    <row r="1202" spans="1:77" x14ac:dyDescent="0.35">
      <c r="A1202" s="7"/>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c r="BL1202" s="7"/>
      <c r="BM1202" s="7"/>
      <c r="BN1202" s="7"/>
      <c r="BO1202" s="7"/>
      <c r="BP1202" s="7"/>
      <c r="BQ1202" s="7"/>
      <c r="BR1202" s="7"/>
      <c r="BS1202" s="7"/>
      <c r="BT1202" s="7"/>
      <c r="BU1202" s="7"/>
      <c r="BV1202" s="7"/>
      <c r="BW1202" s="7"/>
      <c r="BX1202" s="7"/>
      <c r="BY1202" s="7"/>
    </row>
    <row r="1203" spans="1:77" x14ac:dyDescent="0.35">
      <c r="A1203" s="7"/>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c r="BL1203" s="7"/>
      <c r="BM1203" s="7"/>
      <c r="BN1203" s="7"/>
      <c r="BO1203" s="7"/>
      <c r="BP1203" s="7"/>
      <c r="BQ1203" s="7"/>
      <c r="BR1203" s="7"/>
      <c r="BS1203" s="7"/>
      <c r="BT1203" s="7"/>
      <c r="BU1203" s="7"/>
      <c r="BV1203" s="7"/>
      <c r="BW1203" s="7"/>
      <c r="BX1203" s="7"/>
      <c r="BY1203" s="7"/>
    </row>
    <row r="1204" spans="1:77" x14ac:dyDescent="0.35">
      <c r="A1204" s="7"/>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c r="BL1204" s="7"/>
      <c r="BM1204" s="7"/>
      <c r="BN1204" s="7"/>
      <c r="BO1204" s="7"/>
      <c r="BP1204" s="7"/>
      <c r="BQ1204" s="7"/>
      <c r="BR1204" s="7"/>
      <c r="BS1204" s="7"/>
      <c r="BT1204" s="7"/>
      <c r="BU1204" s="7"/>
      <c r="BV1204" s="7"/>
      <c r="BW1204" s="7"/>
      <c r="BX1204" s="7"/>
      <c r="BY1204" s="7"/>
    </row>
    <row r="1205" spans="1:77" x14ac:dyDescent="0.35">
      <c r="A1205" s="7"/>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c r="BL1205" s="7"/>
      <c r="BM1205" s="7"/>
      <c r="BN1205" s="7"/>
      <c r="BO1205" s="7"/>
      <c r="BP1205" s="7"/>
      <c r="BQ1205" s="7"/>
      <c r="BR1205" s="7"/>
      <c r="BS1205" s="7"/>
      <c r="BT1205" s="7"/>
      <c r="BU1205" s="7"/>
      <c r="BV1205" s="7"/>
      <c r="BW1205" s="7"/>
      <c r="BX1205" s="7"/>
      <c r="BY1205" s="7"/>
    </row>
    <row r="1206" spans="1:77" x14ac:dyDescent="0.35">
      <c r="A1206" s="7"/>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c r="BL1206" s="7"/>
      <c r="BM1206" s="7"/>
      <c r="BN1206" s="7"/>
      <c r="BO1206" s="7"/>
      <c r="BP1206" s="7"/>
      <c r="BQ1206" s="7"/>
      <c r="BR1206" s="7"/>
      <c r="BS1206" s="7"/>
      <c r="BT1206" s="7"/>
      <c r="BU1206" s="7"/>
      <c r="BV1206" s="7"/>
      <c r="BW1206" s="7"/>
      <c r="BX1206" s="7"/>
      <c r="BY1206" s="7"/>
    </row>
    <row r="1207" spans="1:77" x14ac:dyDescent="0.35">
      <c r="A1207" s="7"/>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c r="BW1207" s="7"/>
      <c r="BX1207" s="7"/>
      <c r="BY1207" s="7"/>
    </row>
    <row r="1208" spans="1:77" x14ac:dyDescent="0.35">
      <c r="A1208" s="7"/>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c r="BE1208" s="7"/>
      <c r="BF1208" s="7"/>
      <c r="BG1208" s="7"/>
      <c r="BH1208" s="7"/>
      <c r="BI1208" s="7"/>
      <c r="BJ1208" s="7"/>
      <c r="BK1208" s="7"/>
      <c r="BL1208" s="7"/>
      <c r="BM1208" s="7"/>
      <c r="BN1208" s="7"/>
      <c r="BO1208" s="7"/>
      <c r="BP1208" s="7"/>
      <c r="BQ1208" s="7"/>
      <c r="BR1208" s="7"/>
      <c r="BS1208" s="7"/>
      <c r="BT1208" s="7"/>
      <c r="BU1208" s="7"/>
      <c r="BV1208" s="7"/>
      <c r="BW1208" s="7"/>
      <c r="BX1208" s="7"/>
      <c r="BY1208" s="7"/>
    </row>
    <row r="1209" spans="1:77" x14ac:dyDescent="0.35">
      <c r="A1209" s="7"/>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c r="BL1209" s="7"/>
      <c r="BM1209" s="7"/>
      <c r="BN1209" s="7"/>
      <c r="BO1209" s="7"/>
      <c r="BP1209" s="7"/>
      <c r="BQ1209" s="7"/>
      <c r="BR1209" s="7"/>
      <c r="BS1209" s="7"/>
      <c r="BT1209" s="7"/>
      <c r="BU1209" s="7"/>
      <c r="BV1209" s="7"/>
      <c r="BW1209" s="7"/>
      <c r="BX1209" s="7"/>
      <c r="BY1209" s="7"/>
    </row>
    <row r="1210" spans="1:77" x14ac:dyDescent="0.35">
      <c r="A1210" s="7"/>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c r="BE1210" s="7"/>
      <c r="BF1210" s="7"/>
      <c r="BG1210" s="7"/>
      <c r="BH1210" s="7"/>
      <c r="BI1210" s="7"/>
      <c r="BJ1210" s="7"/>
      <c r="BK1210" s="7"/>
      <c r="BL1210" s="7"/>
      <c r="BM1210" s="7"/>
      <c r="BN1210" s="7"/>
      <c r="BO1210" s="7"/>
      <c r="BP1210" s="7"/>
      <c r="BQ1210" s="7"/>
      <c r="BR1210" s="7"/>
      <c r="BS1210" s="7"/>
      <c r="BT1210" s="7"/>
      <c r="BU1210" s="7"/>
      <c r="BV1210" s="7"/>
      <c r="BW1210" s="7"/>
      <c r="BX1210" s="7"/>
      <c r="BY1210" s="7"/>
    </row>
    <row r="1211" spans="1:77" x14ac:dyDescent="0.35">
      <c r="A1211" s="7"/>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c r="BL1211" s="7"/>
      <c r="BM1211" s="7"/>
      <c r="BN1211" s="7"/>
      <c r="BO1211" s="7"/>
      <c r="BP1211" s="7"/>
      <c r="BQ1211" s="7"/>
      <c r="BR1211" s="7"/>
      <c r="BS1211" s="7"/>
      <c r="BT1211" s="7"/>
      <c r="BU1211" s="7"/>
      <c r="BV1211" s="7"/>
      <c r="BW1211" s="7"/>
      <c r="BX1211" s="7"/>
      <c r="BY1211" s="7"/>
    </row>
    <row r="1212" spans="1:77" x14ac:dyDescent="0.35">
      <c r="A1212" s="7"/>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c r="BL1212" s="7"/>
      <c r="BM1212" s="7"/>
      <c r="BN1212" s="7"/>
      <c r="BO1212" s="7"/>
      <c r="BP1212" s="7"/>
      <c r="BQ1212" s="7"/>
      <c r="BR1212" s="7"/>
      <c r="BS1212" s="7"/>
      <c r="BT1212" s="7"/>
      <c r="BU1212" s="7"/>
      <c r="BV1212" s="7"/>
      <c r="BW1212" s="7"/>
      <c r="BX1212" s="7"/>
      <c r="BY1212" s="7"/>
    </row>
    <row r="1213" spans="1:77" x14ac:dyDescent="0.35">
      <c r="A1213" s="7"/>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c r="BW1213" s="7"/>
      <c r="BX1213" s="7"/>
      <c r="BY1213" s="7"/>
    </row>
    <row r="1214" spans="1:77" x14ac:dyDescent="0.35">
      <c r="A1214" s="7"/>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c r="BL1214" s="7"/>
      <c r="BM1214" s="7"/>
      <c r="BN1214" s="7"/>
      <c r="BO1214" s="7"/>
      <c r="BP1214" s="7"/>
      <c r="BQ1214" s="7"/>
      <c r="BR1214" s="7"/>
      <c r="BS1214" s="7"/>
      <c r="BT1214" s="7"/>
      <c r="BU1214" s="7"/>
      <c r="BV1214" s="7"/>
      <c r="BW1214" s="7"/>
      <c r="BX1214" s="7"/>
      <c r="BY1214" s="7"/>
    </row>
    <row r="1215" spans="1:77" x14ac:dyDescent="0.35">
      <c r="A1215" s="7"/>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c r="BL1215" s="7"/>
      <c r="BM1215" s="7"/>
      <c r="BN1215" s="7"/>
      <c r="BO1215" s="7"/>
      <c r="BP1215" s="7"/>
      <c r="BQ1215" s="7"/>
      <c r="BR1215" s="7"/>
      <c r="BS1215" s="7"/>
      <c r="BT1215" s="7"/>
      <c r="BU1215" s="7"/>
      <c r="BV1215" s="7"/>
      <c r="BW1215" s="7"/>
      <c r="BX1215" s="7"/>
      <c r="BY1215" s="7"/>
    </row>
    <row r="1216" spans="1:77" x14ac:dyDescent="0.35">
      <c r="A1216" s="7"/>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c r="BL1216" s="7"/>
      <c r="BM1216" s="7"/>
      <c r="BN1216" s="7"/>
      <c r="BO1216" s="7"/>
      <c r="BP1216" s="7"/>
      <c r="BQ1216" s="7"/>
      <c r="BR1216" s="7"/>
      <c r="BS1216" s="7"/>
      <c r="BT1216" s="7"/>
      <c r="BU1216" s="7"/>
      <c r="BV1216" s="7"/>
      <c r="BW1216" s="7"/>
      <c r="BX1216" s="7"/>
      <c r="BY1216" s="7"/>
    </row>
    <row r="1217" spans="1:77" x14ac:dyDescent="0.35">
      <c r="A1217" s="7"/>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c r="BL1217" s="7"/>
      <c r="BM1217" s="7"/>
      <c r="BN1217" s="7"/>
      <c r="BO1217" s="7"/>
      <c r="BP1217" s="7"/>
      <c r="BQ1217" s="7"/>
      <c r="BR1217" s="7"/>
      <c r="BS1217" s="7"/>
      <c r="BT1217" s="7"/>
      <c r="BU1217" s="7"/>
      <c r="BV1217" s="7"/>
      <c r="BW1217" s="7"/>
      <c r="BX1217" s="7"/>
      <c r="BY1217" s="7"/>
    </row>
    <row r="1218" spans="1:77" x14ac:dyDescent="0.35">
      <c r="A1218" s="7"/>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c r="BL1218" s="7"/>
      <c r="BM1218" s="7"/>
      <c r="BN1218" s="7"/>
      <c r="BO1218" s="7"/>
      <c r="BP1218" s="7"/>
      <c r="BQ1218" s="7"/>
      <c r="BR1218" s="7"/>
      <c r="BS1218" s="7"/>
      <c r="BT1218" s="7"/>
      <c r="BU1218" s="7"/>
      <c r="BV1218" s="7"/>
      <c r="BW1218" s="7"/>
      <c r="BX1218" s="7"/>
      <c r="BY1218" s="7"/>
    </row>
    <row r="1219" spans="1:77" x14ac:dyDescent="0.35">
      <c r="A1219" s="7"/>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c r="BW1219" s="7"/>
      <c r="BX1219" s="7"/>
      <c r="BY1219" s="7"/>
    </row>
    <row r="1220" spans="1:77" x14ac:dyDescent="0.35">
      <c r="A1220" s="7"/>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c r="BL1220" s="7"/>
      <c r="BM1220" s="7"/>
      <c r="BN1220" s="7"/>
      <c r="BO1220" s="7"/>
      <c r="BP1220" s="7"/>
      <c r="BQ1220" s="7"/>
      <c r="BR1220" s="7"/>
      <c r="BS1220" s="7"/>
      <c r="BT1220" s="7"/>
      <c r="BU1220" s="7"/>
      <c r="BV1220" s="7"/>
      <c r="BW1220" s="7"/>
      <c r="BX1220" s="7"/>
      <c r="BY1220" s="7"/>
    </row>
    <row r="1221" spans="1:77" x14ac:dyDescent="0.35">
      <c r="A1221" s="7"/>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c r="BL1221" s="7"/>
      <c r="BM1221" s="7"/>
      <c r="BN1221" s="7"/>
      <c r="BO1221" s="7"/>
      <c r="BP1221" s="7"/>
      <c r="BQ1221" s="7"/>
      <c r="BR1221" s="7"/>
      <c r="BS1221" s="7"/>
      <c r="BT1221" s="7"/>
      <c r="BU1221" s="7"/>
      <c r="BV1221" s="7"/>
      <c r="BW1221" s="7"/>
      <c r="BX1221" s="7"/>
      <c r="BY1221" s="7"/>
    </row>
    <row r="1222" spans="1:77" x14ac:dyDescent="0.35">
      <c r="A1222" s="7"/>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c r="BL1222" s="7"/>
      <c r="BM1222" s="7"/>
      <c r="BN1222" s="7"/>
      <c r="BO1222" s="7"/>
      <c r="BP1222" s="7"/>
      <c r="BQ1222" s="7"/>
      <c r="BR1222" s="7"/>
      <c r="BS1222" s="7"/>
      <c r="BT1222" s="7"/>
      <c r="BU1222" s="7"/>
      <c r="BV1222" s="7"/>
      <c r="BW1222" s="7"/>
      <c r="BX1222" s="7"/>
      <c r="BY1222" s="7"/>
    </row>
    <row r="1223" spans="1:77" x14ac:dyDescent="0.35">
      <c r="A1223" s="7"/>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c r="BL1223" s="7"/>
      <c r="BM1223" s="7"/>
      <c r="BN1223" s="7"/>
      <c r="BO1223" s="7"/>
      <c r="BP1223" s="7"/>
      <c r="BQ1223" s="7"/>
      <c r="BR1223" s="7"/>
      <c r="BS1223" s="7"/>
      <c r="BT1223" s="7"/>
      <c r="BU1223" s="7"/>
      <c r="BV1223" s="7"/>
      <c r="BW1223" s="7"/>
      <c r="BX1223" s="7"/>
      <c r="BY1223" s="7"/>
    </row>
    <row r="1224" spans="1:77" x14ac:dyDescent="0.35">
      <c r="A1224" s="7"/>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c r="BL1224" s="7"/>
      <c r="BM1224" s="7"/>
      <c r="BN1224" s="7"/>
      <c r="BO1224" s="7"/>
      <c r="BP1224" s="7"/>
      <c r="BQ1224" s="7"/>
      <c r="BR1224" s="7"/>
      <c r="BS1224" s="7"/>
      <c r="BT1224" s="7"/>
      <c r="BU1224" s="7"/>
      <c r="BV1224" s="7"/>
      <c r="BW1224" s="7"/>
      <c r="BX1224" s="7"/>
      <c r="BY1224" s="7"/>
    </row>
    <row r="1225" spans="1:77" x14ac:dyDescent="0.35">
      <c r="A1225" s="7"/>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c r="BL1225" s="7"/>
      <c r="BM1225" s="7"/>
      <c r="BN1225" s="7"/>
      <c r="BO1225" s="7"/>
      <c r="BP1225" s="7"/>
      <c r="BQ1225" s="7"/>
      <c r="BR1225" s="7"/>
      <c r="BS1225" s="7"/>
      <c r="BT1225" s="7"/>
      <c r="BU1225" s="7"/>
      <c r="BV1225" s="7"/>
      <c r="BW1225" s="7"/>
      <c r="BX1225" s="7"/>
      <c r="BY1225" s="7"/>
    </row>
    <row r="1226" spans="1:77" x14ac:dyDescent="0.35">
      <c r="A1226" s="7"/>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c r="BL1226" s="7"/>
      <c r="BM1226" s="7"/>
      <c r="BN1226" s="7"/>
      <c r="BO1226" s="7"/>
      <c r="BP1226" s="7"/>
      <c r="BQ1226" s="7"/>
      <c r="BR1226" s="7"/>
      <c r="BS1226" s="7"/>
      <c r="BT1226" s="7"/>
      <c r="BU1226" s="7"/>
      <c r="BV1226" s="7"/>
      <c r="BW1226" s="7"/>
      <c r="BX1226" s="7"/>
      <c r="BY1226" s="7"/>
    </row>
    <row r="1227" spans="1:77" x14ac:dyDescent="0.35">
      <c r="A1227" s="7"/>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c r="BL1227" s="7"/>
      <c r="BM1227" s="7"/>
      <c r="BN1227" s="7"/>
      <c r="BO1227" s="7"/>
      <c r="BP1227" s="7"/>
      <c r="BQ1227" s="7"/>
      <c r="BR1227" s="7"/>
      <c r="BS1227" s="7"/>
      <c r="BT1227" s="7"/>
      <c r="BU1227" s="7"/>
      <c r="BV1227" s="7"/>
      <c r="BW1227" s="7"/>
      <c r="BX1227" s="7"/>
      <c r="BY1227" s="7"/>
    </row>
    <row r="1228" spans="1:77" x14ac:dyDescent="0.35">
      <c r="A1228" s="7"/>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c r="BL1228" s="7"/>
      <c r="BM1228" s="7"/>
      <c r="BN1228" s="7"/>
      <c r="BO1228" s="7"/>
      <c r="BP1228" s="7"/>
      <c r="BQ1228" s="7"/>
      <c r="BR1228" s="7"/>
      <c r="BS1228" s="7"/>
      <c r="BT1228" s="7"/>
      <c r="BU1228" s="7"/>
      <c r="BV1228" s="7"/>
      <c r="BW1228" s="7"/>
      <c r="BX1228" s="7"/>
      <c r="BY1228" s="7"/>
    </row>
    <row r="1229" spans="1:77" x14ac:dyDescent="0.35">
      <c r="A1229" s="7"/>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c r="BL1229" s="7"/>
      <c r="BM1229" s="7"/>
      <c r="BN1229" s="7"/>
      <c r="BO1229" s="7"/>
      <c r="BP1229" s="7"/>
      <c r="BQ1229" s="7"/>
      <c r="BR1229" s="7"/>
      <c r="BS1229" s="7"/>
      <c r="BT1229" s="7"/>
      <c r="BU1229" s="7"/>
      <c r="BV1229" s="7"/>
      <c r="BW1229" s="7"/>
      <c r="BX1229" s="7"/>
      <c r="BY1229" s="7"/>
    </row>
    <row r="1230" spans="1:77" x14ac:dyDescent="0.35">
      <c r="A1230" s="7"/>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c r="BL1230" s="7"/>
      <c r="BM1230" s="7"/>
      <c r="BN1230" s="7"/>
      <c r="BO1230" s="7"/>
      <c r="BP1230" s="7"/>
      <c r="BQ1230" s="7"/>
      <c r="BR1230" s="7"/>
      <c r="BS1230" s="7"/>
      <c r="BT1230" s="7"/>
      <c r="BU1230" s="7"/>
      <c r="BV1230" s="7"/>
      <c r="BW1230" s="7"/>
      <c r="BX1230" s="7"/>
      <c r="BY1230" s="7"/>
    </row>
    <row r="1231" spans="1:77" x14ac:dyDescent="0.35">
      <c r="A1231" s="7"/>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c r="BL1231" s="7"/>
      <c r="BM1231" s="7"/>
      <c r="BN1231" s="7"/>
      <c r="BO1231" s="7"/>
      <c r="BP1231" s="7"/>
      <c r="BQ1231" s="7"/>
      <c r="BR1231" s="7"/>
      <c r="BS1231" s="7"/>
      <c r="BT1231" s="7"/>
      <c r="BU1231" s="7"/>
      <c r="BV1231" s="7"/>
      <c r="BW1231" s="7"/>
      <c r="BX1231" s="7"/>
      <c r="BY1231" s="7"/>
    </row>
    <row r="1232" spans="1:77" x14ac:dyDescent="0.35">
      <c r="A1232" s="7"/>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c r="BL1232" s="7"/>
      <c r="BM1232" s="7"/>
      <c r="BN1232" s="7"/>
      <c r="BO1232" s="7"/>
      <c r="BP1232" s="7"/>
      <c r="BQ1232" s="7"/>
      <c r="BR1232" s="7"/>
      <c r="BS1232" s="7"/>
      <c r="BT1232" s="7"/>
      <c r="BU1232" s="7"/>
      <c r="BV1232" s="7"/>
      <c r="BW1232" s="7"/>
      <c r="BX1232" s="7"/>
      <c r="BY1232" s="7"/>
    </row>
    <row r="1233" spans="1:77" x14ac:dyDescent="0.35">
      <c r="A1233" s="7"/>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c r="BL1233" s="7"/>
      <c r="BM1233" s="7"/>
      <c r="BN1233" s="7"/>
      <c r="BO1233" s="7"/>
      <c r="BP1233" s="7"/>
      <c r="BQ1233" s="7"/>
      <c r="BR1233" s="7"/>
      <c r="BS1233" s="7"/>
      <c r="BT1233" s="7"/>
      <c r="BU1233" s="7"/>
      <c r="BV1233" s="7"/>
      <c r="BW1233" s="7"/>
      <c r="BX1233" s="7"/>
      <c r="BY1233" s="7"/>
    </row>
    <row r="1234" spans="1:77" x14ac:dyDescent="0.35">
      <c r="A1234" s="7"/>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c r="BL1234" s="7"/>
      <c r="BM1234" s="7"/>
      <c r="BN1234" s="7"/>
      <c r="BO1234" s="7"/>
      <c r="BP1234" s="7"/>
      <c r="BQ1234" s="7"/>
      <c r="BR1234" s="7"/>
      <c r="BS1234" s="7"/>
      <c r="BT1234" s="7"/>
      <c r="BU1234" s="7"/>
      <c r="BV1234" s="7"/>
      <c r="BW1234" s="7"/>
      <c r="BX1234" s="7"/>
      <c r="BY1234" s="7"/>
    </row>
    <row r="1235" spans="1:77" x14ac:dyDescent="0.35">
      <c r="A1235" s="7"/>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c r="BW1235" s="7"/>
      <c r="BX1235" s="7"/>
      <c r="BY1235" s="7"/>
    </row>
    <row r="1236" spans="1:77" x14ac:dyDescent="0.35">
      <c r="A1236" s="7"/>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c r="BL1236" s="7"/>
      <c r="BM1236" s="7"/>
      <c r="BN1236" s="7"/>
      <c r="BO1236" s="7"/>
      <c r="BP1236" s="7"/>
      <c r="BQ1236" s="7"/>
      <c r="BR1236" s="7"/>
      <c r="BS1236" s="7"/>
      <c r="BT1236" s="7"/>
      <c r="BU1236" s="7"/>
      <c r="BV1236" s="7"/>
      <c r="BW1236" s="7"/>
      <c r="BX1236" s="7"/>
      <c r="BY1236" s="7"/>
    </row>
    <row r="1237" spans="1:77" x14ac:dyDescent="0.35">
      <c r="A1237" s="7"/>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c r="BW1237" s="7"/>
      <c r="BX1237" s="7"/>
      <c r="BY1237" s="7"/>
    </row>
    <row r="1238" spans="1:77" x14ac:dyDescent="0.35">
      <c r="A1238" s="7"/>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c r="BL1238" s="7"/>
      <c r="BM1238" s="7"/>
      <c r="BN1238" s="7"/>
      <c r="BO1238" s="7"/>
      <c r="BP1238" s="7"/>
      <c r="BQ1238" s="7"/>
      <c r="BR1238" s="7"/>
      <c r="BS1238" s="7"/>
      <c r="BT1238" s="7"/>
      <c r="BU1238" s="7"/>
      <c r="BV1238" s="7"/>
      <c r="BW1238" s="7"/>
      <c r="BX1238" s="7"/>
      <c r="BY1238" s="7"/>
    </row>
    <row r="1239" spans="1:77" x14ac:dyDescent="0.35">
      <c r="A1239" s="7"/>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c r="BN1239" s="7"/>
      <c r="BO1239" s="7"/>
      <c r="BP1239" s="7"/>
      <c r="BQ1239" s="7"/>
      <c r="BR1239" s="7"/>
      <c r="BS1239" s="7"/>
      <c r="BT1239" s="7"/>
      <c r="BU1239" s="7"/>
      <c r="BV1239" s="7"/>
      <c r="BW1239" s="7"/>
      <c r="BX1239" s="7"/>
      <c r="BY1239" s="7"/>
    </row>
    <row r="1240" spans="1:77" x14ac:dyDescent="0.35">
      <c r="A1240" s="7"/>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c r="BL1240" s="7"/>
      <c r="BM1240" s="7"/>
      <c r="BN1240" s="7"/>
      <c r="BO1240" s="7"/>
      <c r="BP1240" s="7"/>
      <c r="BQ1240" s="7"/>
      <c r="BR1240" s="7"/>
      <c r="BS1240" s="7"/>
      <c r="BT1240" s="7"/>
      <c r="BU1240" s="7"/>
      <c r="BV1240" s="7"/>
      <c r="BW1240" s="7"/>
      <c r="BX1240" s="7"/>
      <c r="BY1240" s="7"/>
    </row>
    <row r="1241" spans="1:77" x14ac:dyDescent="0.35">
      <c r="A1241" s="7"/>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c r="BL1241" s="7"/>
      <c r="BM1241" s="7"/>
      <c r="BN1241" s="7"/>
      <c r="BO1241" s="7"/>
      <c r="BP1241" s="7"/>
      <c r="BQ1241" s="7"/>
      <c r="BR1241" s="7"/>
      <c r="BS1241" s="7"/>
      <c r="BT1241" s="7"/>
      <c r="BU1241" s="7"/>
      <c r="BV1241" s="7"/>
      <c r="BW1241" s="7"/>
      <c r="BX1241" s="7"/>
      <c r="BY1241" s="7"/>
    </row>
    <row r="1242" spans="1:77" x14ac:dyDescent="0.35">
      <c r="A1242" s="7"/>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c r="BN1242" s="7"/>
      <c r="BO1242" s="7"/>
      <c r="BP1242" s="7"/>
      <c r="BQ1242" s="7"/>
      <c r="BR1242" s="7"/>
      <c r="BS1242" s="7"/>
      <c r="BT1242" s="7"/>
      <c r="BU1242" s="7"/>
      <c r="BV1242" s="7"/>
      <c r="BW1242" s="7"/>
      <c r="BX1242" s="7"/>
      <c r="BY1242" s="7"/>
    </row>
    <row r="1243" spans="1:77" x14ac:dyDescent="0.35">
      <c r="A1243" s="7"/>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c r="BL1243" s="7"/>
      <c r="BM1243" s="7"/>
      <c r="BN1243" s="7"/>
      <c r="BO1243" s="7"/>
      <c r="BP1243" s="7"/>
      <c r="BQ1243" s="7"/>
      <c r="BR1243" s="7"/>
      <c r="BS1243" s="7"/>
      <c r="BT1243" s="7"/>
      <c r="BU1243" s="7"/>
      <c r="BV1243" s="7"/>
      <c r="BW1243" s="7"/>
      <c r="BX1243" s="7"/>
      <c r="BY1243" s="7"/>
    </row>
    <row r="1244" spans="1:77" x14ac:dyDescent="0.35">
      <c r="A1244" s="7"/>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c r="BL1244" s="7"/>
      <c r="BM1244" s="7"/>
      <c r="BN1244" s="7"/>
      <c r="BO1244" s="7"/>
      <c r="BP1244" s="7"/>
      <c r="BQ1244" s="7"/>
      <c r="BR1244" s="7"/>
      <c r="BS1244" s="7"/>
      <c r="BT1244" s="7"/>
      <c r="BU1244" s="7"/>
      <c r="BV1244" s="7"/>
      <c r="BW1244" s="7"/>
      <c r="BX1244" s="7"/>
      <c r="BY1244" s="7"/>
    </row>
    <row r="1245" spans="1:77" x14ac:dyDescent="0.35">
      <c r="A1245" s="7"/>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c r="BW1245" s="7"/>
      <c r="BX1245" s="7"/>
      <c r="BY1245" s="7"/>
    </row>
    <row r="1246" spans="1:77" x14ac:dyDescent="0.35">
      <c r="A1246" s="7"/>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c r="BL1246" s="7"/>
      <c r="BM1246" s="7"/>
      <c r="BN1246" s="7"/>
      <c r="BO1246" s="7"/>
      <c r="BP1246" s="7"/>
      <c r="BQ1246" s="7"/>
      <c r="BR1246" s="7"/>
      <c r="BS1246" s="7"/>
      <c r="BT1246" s="7"/>
      <c r="BU1246" s="7"/>
      <c r="BV1246" s="7"/>
      <c r="BW1246" s="7"/>
      <c r="BX1246" s="7"/>
      <c r="BY1246" s="7"/>
    </row>
    <row r="1247" spans="1:77" x14ac:dyDescent="0.35">
      <c r="A1247" s="7"/>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c r="BW1247" s="7"/>
      <c r="BX1247" s="7"/>
      <c r="BY1247" s="7"/>
    </row>
    <row r="1248" spans="1:77" x14ac:dyDescent="0.35">
      <c r="A1248" s="7"/>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c r="BL1248" s="7"/>
      <c r="BM1248" s="7"/>
      <c r="BN1248" s="7"/>
      <c r="BO1248" s="7"/>
      <c r="BP1248" s="7"/>
      <c r="BQ1248" s="7"/>
      <c r="BR1248" s="7"/>
      <c r="BS1248" s="7"/>
      <c r="BT1248" s="7"/>
      <c r="BU1248" s="7"/>
      <c r="BV1248" s="7"/>
      <c r="BW1248" s="7"/>
      <c r="BX1248" s="7"/>
      <c r="BY1248" s="7"/>
    </row>
    <row r="1249" spans="1:77" x14ac:dyDescent="0.35">
      <c r="A1249" s="7"/>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c r="BN1249" s="7"/>
      <c r="BO1249" s="7"/>
      <c r="BP1249" s="7"/>
      <c r="BQ1249" s="7"/>
      <c r="BR1249" s="7"/>
      <c r="BS1249" s="7"/>
      <c r="BT1249" s="7"/>
      <c r="BU1249" s="7"/>
      <c r="BV1249" s="7"/>
      <c r="BW1249" s="7"/>
      <c r="BX1249" s="7"/>
      <c r="BY1249" s="7"/>
    </row>
    <row r="1250" spans="1:77" x14ac:dyDescent="0.35">
      <c r="A1250" s="7"/>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c r="BN1250" s="7"/>
      <c r="BO1250" s="7"/>
      <c r="BP1250" s="7"/>
      <c r="BQ1250" s="7"/>
      <c r="BR1250" s="7"/>
      <c r="BS1250" s="7"/>
      <c r="BT1250" s="7"/>
      <c r="BU1250" s="7"/>
      <c r="BV1250" s="7"/>
      <c r="BW1250" s="7"/>
      <c r="BX1250" s="7"/>
      <c r="BY1250" s="7"/>
    </row>
    <row r="1251" spans="1:77" x14ac:dyDescent="0.35">
      <c r="A1251" s="7"/>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c r="BL1251" s="7"/>
      <c r="BM1251" s="7"/>
      <c r="BN1251" s="7"/>
      <c r="BO1251" s="7"/>
      <c r="BP1251" s="7"/>
      <c r="BQ1251" s="7"/>
      <c r="BR1251" s="7"/>
      <c r="BS1251" s="7"/>
      <c r="BT1251" s="7"/>
      <c r="BU1251" s="7"/>
      <c r="BV1251" s="7"/>
      <c r="BW1251" s="7"/>
      <c r="BX1251" s="7"/>
      <c r="BY1251" s="7"/>
    </row>
    <row r="1252" spans="1:77" x14ac:dyDescent="0.35">
      <c r="A1252" s="7"/>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c r="BL1252" s="7"/>
      <c r="BM1252" s="7"/>
      <c r="BN1252" s="7"/>
      <c r="BO1252" s="7"/>
      <c r="BP1252" s="7"/>
      <c r="BQ1252" s="7"/>
      <c r="BR1252" s="7"/>
      <c r="BS1252" s="7"/>
      <c r="BT1252" s="7"/>
      <c r="BU1252" s="7"/>
      <c r="BV1252" s="7"/>
      <c r="BW1252" s="7"/>
      <c r="BX1252" s="7"/>
      <c r="BY1252" s="7"/>
    </row>
    <row r="1253" spans="1:77" x14ac:dyDescent="0.35">
      <c r="A1253" s="7"/>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c r="BW1253" s="7"/>
      <c r="BX1253" s="7"/>
      <c r="BY1253" s="7"/>
    </row>
    <row r="1254" spans="1:77" x14ac:dyDescent="0.35">
      <c r="A1254" s="7"/>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c r="BL1254" s="7"/>
      <c r="BM1254" s="7"/>
      <c r="BN1254" s="7"/>
      <c r="BO1254" s="7"/>
      <c r="BP1254" s="7"/>
      <c r="BQ1254" s="7"/>
      <c r="BR1254" s="7"/>
      <c r="BS1254" s="7"/>
      <c r="BT1254" s="7"/>
      <c r="BU1254" s="7"/>
      <c r="BV1254" s="7"/>
      <c r="BW1254" s="7"/>
      <c r="BX1254" s="7"/>
      <c r="BY1254" s="7"/>
    </row>
    <row r="1255" spans="1:77" x14ac:dyDescent="0.35">
      <c r="A1255" s="7"/>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c r="BN1255" s="7"/>
      <c r="BO1255" s="7"/>
      <c r="BP1255" s="7"/>
      <c r="BQ1255" s="7"/>
      <c r="BR1255" s="7"/>
      <c r="BS1255" s="7"/>
      <c r="BT1255" s="7"/>
      <c r="BU1255" s="7"/>
      <c r="BV1255" s="7"/>
      <c r="BW1255" s="7"/>
      <c r="BX1255" s="7"/>
      <c r="BY1255" s="7"/>
    </row>
    <row r="1256" spans="1:77" x14ac:dyDescent="0.35">
      <c r="A1256" s="7"/>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c r="BL1256" s="7"/>
      <c r="BM1256" s="7"/>
      <c r="BN1256" s="7"/>
      <c r="BO1256" s="7"/>
      <c r="BP1256" s="7"/>
      <c r="BQ1256" s="7"/>
      <c r="BR1256" s="7"/>
      <c r="BS1256" s="7"/>
      <c r="BT1256" s="7"/>
      <c r="BU1256" s="7"/>
      <c r="BV1256" s="7"/>
      <c r="BW1256" s="7"/>
      <c r="BX1256" s="7"/>
      <c r="BY1256" s="7"/>
    </row>
    <row r="1257" spans="1:77" x14ac:dyDescent="0.35">
      <c r="A1257" s="7"/>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c r="BL1257" s="7"/>
      <c r="BM1257" s="7"/>
      <c r="BN1257" s="7"/>
      <c r="BO1257" s="7"/>
      <c r="BP1257" s="7"/>
      <c r="BQ1257" s="7"/>
      <c r="BR1257" s="7"/>
      <c r="BS1257" s="7"/>
      <c r="BT1257" s="7"/>
      <c r="BU1257" s="7"/>
      <c r="BV1257" s="7"/>
      <c r="BW1257" s="7"/>
      <c r="BX1257" s="7"/>
      <c r="BY1257" s="7"/>
    </row>
    <row r="1258" spans="1:77" x14ac:dyDescent="0.35">
      <c r="A1258" s="7"/>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c r="BL1258" s="7"/>
      <c r="BM1258" s="7"/>
      <c r="BN1258" s="7"/>
      <c r="BO1258" s="7"/>
      <c r="BP1258" s="7"/>
      <c r="BQ1258" s="7"/>
      <c r="BR1258" s="7"/>
      <c r="BS1258" s="7"/>
      <c r="BT1258" s="7"/>
      <c r="BU1258" s="7"/>
      <c r="BV1258" s="7"/>
      <c r="BW1258" s="7"/>
      <c r="BX1258" s="7"/>
      <c r="BY1258" s="7"/>
    </row>
    <row r="1259" spans="1:77" x14ac:dyDescent="0.35">
      <c r="A1259" s="7"/>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c r="BN1259" s="7"/>
      <c r="BO1259" s="7"/>
      <c r="BP1259" s="7"/>
      <c r="BQ1259" s="7"/>
      <c r="BR1259" s="7"/>
      <c r="BS1259" s="7"/>
      <c r="BT1259" s="7"/>
      <c r="BU1259" s="7"/>
      <c r="BV1259" s="7"/>
      <c r="BW1259" s="7"/>
      <c r="BX1259" s="7"/>
      <c r="BY1259" s="7"/>
    </row>
    <row r="1260" spans="1:77" x14ac:dyDescent="0.35">
      <c r="A1260" s="7"/>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c r="BL1260" s="7"/>
      <c r="BM1260" s="7"/>
      <c r="BN1260" s="7"/>
      <c r="BO1260" s="7"/>
      <c r="BP1260" s="7"/>
      <c r="BQ1260" s="7"/>
      <c r="BR1260" s="7"/>
      <c r="BS1260" s="7"/>
      <c r="BT1260" s="7"/>
      <c r="BU1260" s="7"/>
      <c r="BV1260" s="7"/>
      <c r="BW1260" s="7"/>
      <c r="BX1260" s="7"/>
      <c r="BY1260" s="7"/>
    </row>
    <row r="1261" spans="1:77" x14ac:dyDescent="0.35">
      <c r="A1261" s="7"/>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c r="BW1261" s="7"/>
      <c r="BX1261" s="7"/>
      <c r="BY1261" s="7"/>
    </row>
    <row r="1262" spans="1:77" x14ac:dyDescent="0.35">
      <c r="A1262" s="7"/>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c r="BE1262" s="7"/>
      <c r="BF1262" s="7"/>
      <c r="BG1262" s="7"/>
      <c r="BH1262" s="7"/>
      <c r="BI1262" s="7"/>
      <c r="BJ1262" s="7"/>
      <c r="BK1262" s="7"/>
      <c r="BL1262" s="7"/>
      <c r="BM1262" s="7"/>
      <c r="BN1262" s="7"/>
      <c r="BO1262" s="7"/>
      <c r="BP1262" s="7"/>
      <c r="BQ1262" s="7"/>
      <c r="BR1262" s="7"/>
      <c r="BS1262" s="7"/>
      <c r="BT1262" s="7"/>
      <c r="BU1262" s="7"/>
      <c r="BV1262" s="7"/>
      <c r="BW1262" s="7"/>
      <c r="BX1262" s="7"/>
      <c r="BY1262" s="7"/>
    </row>
    <row r="1263" spans="1:77" x14ac:dyDescent="0.35">
      <c r="A1263" s="7"/>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c r="BL1263" s="7"/>
      <c r="BM1263" s="7"/>
      <c r="BN1263" s="7"/>
      <c r="BO1263" s="7"/>
      <c r="BP1263" s="7"/>
      <c r="BQ1263" s="7"/>
      <c r="BR1263" s="7"/>
      <c r="BS1263" s="7"/>
      <c r="BT1263" s="7"/>
      <c r="BU1263" s="7"/>
      <c r="BV1263" s="7"/>
      <c r="BW1263" s="7"/>
      <c r="BX1263" s="7"/>
      <c r="BY1263" s="7"/>
    </row>
    <row r="1264" spans="1:77" x14ac:dyDescent="0.35">
      <c r="A1264" s="7"/>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c r="BL1264" s="7"/>
      <c r="BM1264" s="7"/>
      <c r="BN1264" s="7"/>
      <c r="BO1264" s="7"/>
      <c r="BP1264" s="7"/>
      <c r="BQ1264" s="7"/>
      <c r="BR1264" s="7"/>
      <c r="BS1264" s="7"/>
      <c r="BT1264" s="7"/>
      <c r="BU1264" s="7"/>
      <c r="BV1264" s="7"/>
      <c r="BW1264" s="7"/>
      <c r="BX1264" s="7"/>
      <c r="BY1264" s="7"/>
    </row>
    <row r="1265" spans="1:77" x14ac:dyDescent="0.35">
      <c r="A1265" s="7"/>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c r="BL1265" s="7"/>
      <c r="BM1265" s="7"/>
      <c r="BN1265" s="7"/>
      <c r="BO1265" s="7"/>
      <c r="BP1265" s="7"/>
      <c r="BQ1265" s="7"/>
      <c r="BR1265" s="7"/>
      <c r="BS1265" s="7"/>
      <c r="BT1265" s="7"/>
      <c r="BU1265" s="7"/>
      <c r="BV1265" s="7"/>
      <c r="BW1265" s="7"/>
      <c r="BX1265" s="7"/>
      <c r="BY1265" s="7"/>
    </row>
    <row r="1266" spans="1:77" x14ac:dyDescent="0.35">
      <c r="A1266" s="7"/>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c r="BL1266" s="7"/>
      <c r="BM1266" s="7"/>
      <c r="BN1266" s="7"/>
      <c r="BO1266" s="7"/>
      <c r="BP1266" s="7"/>
      <c r="BQ1266" s="7"/>
      <c r="BR1266" s="7"/>
      <c r="BS1266" s="7"/>
      <c r="BT1266" s="7"/>
      <c r="BU1266" s="7"/>
      <c r="BV1266" s="7"/>
      <c r="BW1266" s="7"/>
      <c r="BX1266" s="7"/>
      <c r="BY1266" s="7"/>
    </row>
    <row r="1267" spans="1:77" x14ac:dyDescent="0.35">
      <c r="A1267" s="7"/>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c r="BL1267" s="7"/>
      <c r="BM1267" s="7"/>
      <c r="BN1267" s="7"/>
      <c r="BO1267" s="7"/>
      <c r="BP1267" s="7"/>
      <c r="BQ1267" s="7"/>
      <c r="BR1267" s="7"/>
      <c r="BS1267" s="7"/>
      <c r="BT1267" s="7"/>
      <c r="BU1267" s="7"/>
      <c r="BV1267" s="7"/>
      <c r="BW1267" s="7"/>
      <c r="BX1267" s="7"/>
      <c r="BY1267" s="7"/>
    </row>
    <row r="1268" spans="1:77" x14ac:dyDescent="0.35">
      <c r="A1268" s="7"/>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c r="BL1268" s="7"/>
      <c r="BM1268" s="7"/>
      <c r="BN1268" s="7"/>
      <c r="BO1268" s="7"/>
      <c r="BP1268" s="7"/>
      <c r="BQ1268" s="7"/>
      <c r="BR1268" s="7"/>
      <c r="BS1268" s="7"/>
      <c r="BT1268" s="7"/>
      <c r="BU1268" s="7"/>
      <c r="BV1268" s="7"/>
      <c r="BW1268" s="7"/>
      <c r="BX1268" s="7"/>
      <c r="BY1268" s="7"/>
    </row>
    <row r="1269" spans="1:77" x14ac:dyDescent="0.35">
      <c r="A1269" s="7"/>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c r="BL1269" s="7"/>
      <c r="BM1269" s="7"/>
      <c r="BN1269" s="7"/>
      <c r="BO1269" s="7"/>
      <c r="BP1269" s="7"/>
      <c r="BQ1269" s="7"/>
      <c r="BR1269" s="7"/>
      <c r="BS1269" s="7"/>
      <c r="BT1269" s="7"/>
      <c r="BU1269" s="7"/>
      <c r="BV1269" s="7"/>
      <c r="BW1269" s="7"/>
      <c r="BX1269" s="7"/>
      <c r="BY1269" s="7"/>
    </row>
    <row r="1270" spans="1:77" x14ac:dyDescent="0.35">
      <c r="A1270" s="7"/>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c r="BL1270" s="7"/>
      <c r="BM1270" s="7"/>
      <c r="BN1270" s="7"/>
      <c r="BO1270" s="7"/>
      <c r="BP1270" s="7"/>
      <c r="BQ1270" s="7"/>
      <c r="BR1270" s="7"/>
      <c r="BS1270" s="7"/>
      <c r="BT1270" s="7"/>
      <c r="BU1270" s="7"/>
      <c r="BV1270" s="7"/>
      <c r="BW1270" s="7"/>
      <c r="BX1270" s="7"/>
      <c r="BY1270" s="7"/>
    </row>
    <row r="1271" spans="1:77" x14ac:dyDescent="0.35">
      <c r="A1271" s="7"/>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c r="BL1271" s="7"/>
      <c r="BM1271" s="7"/>
      <c r="BN1271" s="7"/>
      <c r="BO1271" s="7"/>
      <c r="BP1271" s="7"/>
      <c r="BQ1271" s="7"/>
      <c r="BR1271" s="7"/>
      <c r="BS1271" s="7"/>
      <c r="BT1271" s="7"/>
      <c r="BU1271" s="7"/>
      <c r="BV1271" s="7"/>
      <c r="BW1271" s="7"/>
      <c r="BX1271" s="7"/>
      <c r="BY1271" s="7"/>
    </row>
    <row r="1272" spans="1:77" x14ac:dyDescent="0.35">
      <c r="A1272" s="7"/>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c r="BE1272" s="7"/>
      <c r="BF1272" s="7"/>
      <c r="BG1272" s="7"/>
      <c r="BH1272" s="7"/>
      <c r="BI1272" s="7"/>
      <c r="BJ1272" s="7"/>
      <c r="BK1272" s="7"/>
      <c r="BL1272" s="7"/>
      <c r="BM1272" s="7"/>
      <c r="BN1272" s="7"/>
      <c r="BO1272" s="7"/>
      <c r="BP1272" s="7"/>
      <c r="BQ1272" s="7"/>
      <c r="BR1272" s="7"/>
      <c r="BS1272" s="7"/>
      <c r="BT1272" s="7"/>
      <c r="BU1272" s="7"/>
      <c r="BV1272" s="7"/>
      <c r="BW1272" s="7"/>
      <c r="BX1272" s="7"/>
      <c r="BY1272" s="7"/>
    </row>
    <row r="1273" spans="1:77" x14ac:dyDescent="0.35">
      <c r="A1273" s="7"/>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c r="BL1273" s="7"/>
      <c r="BM1273" s="7"/>
      <c r="BN1273" s="7"/>
      <c r="BO1273" s="7"/>
      <c r="BP1273" s="7"/>
      <c r="BQ1273" s="7"/>
      <c r="BR1273" s="7"/>
      <c r="BS1273" s="7"/>
      <c r="BT1273" s="7"/>
      <c r="BU1273" s="7"/>
      <c r="BV1273" s="7"/>
      <c r="BW1273" s="7"/>
      <c r="BX1273" s="7"/>
      <c r="BY1273" s="7"/>
    </row>
    <row r="1274" spans="1:77" x14ac:dyDescent="0.35">
      <c r="A1274" s="7"/>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c r="BL1274" s="7"/>
      <c r="BM1274" s="7"/>
      <c r="BN1274" s="7"/>
      <c r="BO1274" s="7"/>
      <c r="BP1274" s="7"/>
      <c r="BQ1274" s="7"/>
      <c r="BR1274" s="7"/>
      <c r="BS1274" s="7"/>
      <c r="BT1274" s="7"/>
      <c r="BU1274" s="7"/>
      <c r="BV1274" s="7"/>
      <c r="BW1274" s="7"/>
      <c r="BX1274" s="7"/>
      <c r="BY1274" s="7"/>
    </row>
    <row r="1275" spans="1:77" x14ac:dyDescent="0.35">
      <c r="A1275" s="7"/>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c r="BW1275" s="7"/>
      <c r="BX1275" s="7"/>
      <c r="BY1275" s="7"/>
    </row>
    <row r="1276" spans="1:77" x14ac:dyDescent="0.35">
      <c r="A1276" s="7"/>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c r="BL1276" s="7"/>
      <c r="BM1276" s="7"/>
      <c r="BN1276" s="7"/>
      <c r="BO1276" s="7"/>
      <c r="BP1276" s="7"/>
      <c r="BQ1276" s="7"/>
      <c r="BR1276" s="7"/>
      <c r="BS1276" s="7"/>
      <c r="BT1276" s="7"/>
      <c r="BU1276" s="7"/>
      <c r="BV1276" s="7"/>
      <c r="BW1276" s="7"/>
      <c r="BX1276" s="7"/>
      <c r="BY1276" s="7"/>
    </row>
    <row r="1277" spans="1:77" x14ac:dyDescent="0.35">
      <c r="A1277" s="7"/>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c r="BL1277" s="7"/>
      <c r="BM1277" s="7"/>
      <c r="BN1277" s="7"/>
      <c r="BO1277" s="7"/>
      <c r="BP1277" s="7"/>
      <c r="BQ1277" s="7"/>
      <c r="BR1277" s="7"/>
      <c r="BS1277" s="7"/>
      <c r="BT1277" s="7"/>
      <c r="BU1277" s="7"/>
      <c r="BV1277" s="7"/>
      <c r="BW1277" s="7"/>
      <c r="BX1277" s="7"/>
      <c r="BY1277" s="7"/>
    </row>
    <row r="1278" spans="1:77" x14ac:dyDescent="0.35">
      <c r="A1278" s="7"/>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c r="BL1278" s="7"/>
      <c r="BM1278" s="7"/>
      <c r="BN1278" s="7"/>
      <c r="BO1278" s="7"/>
      <c r="BP1278" s="7"/>
      <c r="BQ1278" s="7"/>
      <c r="BR1278" s="7"/>
      <c r="BS1278" s="7"/>
      <c r="BT1278" s="7"/>
      <c r="BU1278" s="7"/>
      <c r="BV1278" s="7"/>
      <c r="BW1278" s="7"/>
      <c r="BX1278" s="7"/>
      <c r="BY1278" s="7"/>
    </row>
    <row r="1279" spans="1:77" x14ac:dyDescent="0.35">
      <c r="A1279" s="7"/>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c r="BL1279" s="7"/>
      <c r="BM1279" s="7"/>
      <c r="BN1279" s="7"/>
      <c r="BO1279" s="7"/>
      <c r="BP1279" s="7"/>
      <c r="BQ1279" s="7"/>
      <c r="BR1279" s="7"/>
      <c r="BS1279" s="7"/>
      <c r="BT1279" s="7"/>
      <c r="BU1279" s="7"/>
      <c r="BV1279" s="7"/>
      <c r="BW1279" s="7"/>
      <c r="BX1279" s="7"/>
      <c r="BY1279" s="7"/>
    </row>
    <row r="1280" spans="1:77" x14ac:dyDescent="0.35">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c r="BL1280" s="7"/>
      <c r="BM1280" s="7"/>
      <c r="BN1280" s="7"/>
      <c r="BO1280" s="7"/>
      <c r="BP1280" s="7"/>
      <c r="BQ1280" s="7"/>
      <c r="BR1280" s="7"/>
      <c r="BS1280" s="7"/>
      <c r="BT1280" s="7"/>
      <c r="BU1280" s="7"/>
      <c r="BV1280" s="7"/>
      <c r="BW1280" s="7"/>
      <c r="BX1280" s="7"/>
      <c r="BY1280" s="7"/>
    </row>
    <row r="1281" spans="1:77" x14ac:dyDescent="0.35">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c r="BL1281" s="7"/>
      <c r="BM1281" s="7"/>
      <c r="BN1281" s="7"/>
      <c r="BO1281" s="7"/>
      <c r="BP1281" s="7"/>
      <c r="BQ1281" s="7"/>
      <c r="BR1281" s="7"/>
      <c r="BS1281" s="7"/>
      <c r="BT1281" s="7"/>
      <c r="BU1281" s="7"/>
      <c r="BV1281" s="7"/>
      <c r="BW1281" s="7"/>
      <c r="BX1281" s="7"/>
      <c r="BY1281" s="7"/>
    </row>
    <row r="1282" spans="1:77" x14ac:dyDescent="0.35">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c r="BL1282" s="7"/>
      <c r="BM1282" s="7"/>
      <c r="BN1282" s="7"/>
      <c r="BO1282" s="7"/>
      <c r="BP1282" s="7"/>
      <c r="BQ1282" s="7"/>
      <c r="BR1282" s="7"/>
      <c r="BS1282" s="7"/>
      <c r="BT1282" s="7"/>
      <c r="BU1282" s="7"/>
      <c r="BV1282" s="7"/>
      <c r="BW1282" s="7"/>
      <c r="BX1282" s="7"/>
      <c r="BY1282" s="7"/>
    </row>
    <row r="1283" spans="1:77" x14ac:dyDescent="0.35">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c r="BL1283" s="7"/>
      <c r="BM1283" s="7"/>
      <c r="BN1283" s="7"/>
      <c r="BO1283" s="7"/>
      <c r="BP1283" s="7"/>
      <c r="BQ1283" s="7"/>
      <c r="BR1283" s="7"/>
      <c r="BS1283" s="7"/>
      <c r="BT1283" s="7"/>
      <c r="BU1283" s="7"/>
      <c r="BV1283" s="7"/>
      <c r="BW1283" s="7"/>
      <c r="BX1283" s="7"/>
      <c r="BY1283" s="7"/>
    </row>
    <row r="1284" spans="1:77" x14ac:dyDescent="0.35">
      <c r="A1284" s="7"/>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c r="BE1284" s="7"/>
      <c r="BF1284" s="7"/>
      <c r="BG1284" s="7"/>
      <c r="BH1284" s="7"/>
      <c r="BI1284" s="7"/>
      <c r="BJ1284" s="7"/>
      <c r="BK1284" s="7"/>
      <c r="BL1284" s="7"/>
      <c r="BM1284" s="7"/>
      <c r="BN1284" s="7"/>
      <c r="BO1284" s="7"/>
      <c r="BP1284" s="7"/>
      <c r="BQ1284" s="7"/>
      <c r="BR1284" s="7"/>
      <c r="BS1284" s="7"/>
      <c r="BT1284" s="7"/>
      <c r="BU1284" s="7"/>
      <c r="BV1284" s="7"/>
      <c r="BW1284" s="7"/>
      <c r="BX1284" s="7"/>
      <c r="BY1284" s="7"/>
    </row>
    <row r="1285" spans="1:77" x14ac:dyDescent="0.3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c r="BL1285" s="7"/>
      <c r="BM1285" s="7"/>
      <c r="BN1285" s="7"/>
      <c r="BO1285" s="7"/>
      <c r="BP1285" s="7"/>
      <c r="BQ1285" s="7"/>
      <c r="BR1285" s="7"/>
      <c r="BS1285" s="7"/>
      <c r="BT1285" s="7"/>
      <c r="BU1285" s="7"/>
      <c r="BV1285" s="7"/>
      <c r="BW1285" s="7"/>
      <c r="BX1285" s="7"/>
      <c r="BY1285" s="7"/>
    </row>
    <row r="1286" spans="1:77" x14ac:dyDescent="0.35">
      <c r="A1286" s="7"/>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c r="BE1286" s="7"/>
      <c r="BF1286" s="7"/>
      <c r="BG1286" s="7"/>
      <c r="BH1286" s="7"/>
      <c r="BI1286" s="7"/>
      <c r="BJ1286" s="7"/>
      <c r="BK1286" s="7"/>
      <c r="BL1286" s="7"/>
      <c r="BM1286" s="7"/>
      <c r="BN1286" s="7"/>
      <c r="BO1286" s="7"/>
      <c r="BP1286" s="7"/>
      <c r="BQ1286" s="7"/>
      <c r="BR1286" s="7"/>
      <c r="BS1286" s="7"/>
      <c r="BT1286" s="7"/>
      <c r="BU1286" s="7"/>
      <c r="BV1286" s="7"/>
      <c r="BW1286" s="7"/>
      <c r="BX1286" s="7"/>
      <c r="BY1286" s="7"/>
    </row>
    <row r="1287" spans="1:77" x14ac:dyDescent="0.35">
      <c r="A1287" s="7"/>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c r="BL1287" s="7"/>
      <c r="BM1287" s="7"/>
      <c r="BN1287" s="7"/>
      <c r="BO1287" s="7"/>
      <c r="BP1287" s="7"/>
      <c r="BQ1287" s="7"/>
      <c r="BR1287" s="7"/>
      <c r="BS1287" s="7"/>
      <c r="BT1287" s="7"/>
      <c r="BU1287" s="7"/>
      <c r="BV1287" s="7"/>
      <c r="BW1287" s="7"/>
      <c r="BX1287" s="7"/>
      <c r="BY1287" s="7"/>
    </row>
    <row r="1288" spans="1:77" x14ac:dyDescent="0.35">
      <c r="A1288" s="7"/>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c r="BE1288" s="7"/>
      <c r="BF1288" s="7"/>
      <c r="BG1288" s="7"/>
      <c r="BH1288" s="7"/>
      <c r="BI1288" s="7"/>
      <c r="BJ1288" s="7"/>
      <c r="BK1288" s="7"/>
      <c r="BL1288" s="7"/>
      <c r="BM1288" s="7"/>
      <c r="BN1288" s="7"/>
      <c r="BO1288" s="7"/>
      <c r="BP1288" s="7"/>
      <c r="BQ1288" s="7"/>
      <c r="BR1288" s="7"/>
      <c r="BS1288" s="7"/>
      <c r="BT1288" s="7"/>
      <c r="BU1288" s="7"/>
      <c r="BV1288" s="7"/>
      <c r="BW1288" s="7"/>
      <c r="BX1288" s="7"/>
      <c r="BY1288" s="7"/>
    </row>
    <row r="1289" spans="1:77" x14ac:dyDescent="0.35">
      <c r="A1289" s="7"/>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c r="BL1289" s="7"/>
      <c r="BM1289" s="7"/>
      <c r="BN1289" s="7"/>
      <c r="BO1289" s="7"/>
      <c r="BP1289" s="7"/>
      <c r="BQ1289" s="7"/>
      <c r="BR1289" s="7"/>
      <c r="BS1289" s="7"/>
      <c r="BT1289" s="7"/>
      <c r="BU1289" s="7"/>
      <c r="BV1289" s="7"/>
      <c r="BW1289" s="7"/>
      <c r="BX1289" s="7"/>
      <c r="BY1289" s="7"/>
    </row>
    <row r="1290" spans="1:77" x14ac:dyDescent="0.35">
      <c r="A1290" s="7"/>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c r="BE1290" s="7"/>
      <c r="BF1290" s="7"/>
      <c r="BG1290" s="7"/>
      <c r="BH1290" s="7"/>
      <c r="BI1290" s="7"/>
      <c r="BJ1290" s="7"/>
      <c r="BK1290" s="7"/>
      <c r="BL1290" s="7"/>
      <c r="BM1290" s="7"/>
      <c r="BN1290" s="7"/>
      <c r="BO1290" s="7"/>
      <c r="BP1290" s="7"/>
      <c r="BQ1290" s="7"/>
      <c r="BR1290" s="7"/>
      <c r="BS1290" s="7"/>
      <c r="BT1290" s="7"/>
      <c r="BU1290" s="7"/>
      <c r="BV1290" s="7"/>
      <c r="BW1290" s="7"/>
      <c r="BX1290" s="7"/>
      <c r="BY1290" s="7"/>
    </row>
    <row r="1291" spans="1:77" x14ac:dyDescent="0.35">
      <c r="A1291" s="7"/>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c r="BL1291" s="7"/>
      <c r="BM1291" s="7"/>
      <c r="BN1291" s="7"/>
      <c r="BO1291" s="7"/>
      <c r="BP1291" s="7"/>
      <c r="BQ1291" s="7"/>
      <c r="BR1291" s="7"/>
      <c r="BS1291" s="7"/>
      <c r="BT1291" s="7"/>
      <c r="BU1291" s="7"/>
      <c r="BV1291" s="7"/>
      <c r="BW1291" s="7"/>
      <c r="BX1291" s="7"/>
      <c r="BY1291" s="7"/>
    </row>
    <row r="1292" spans="1:77" x14ac:dyDescent="0.35">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c r="BW1292" s="7"/>
      <c r="BX1292" s="7"/>
      <c r="BY1292" s="7"/>
    </row>
    <row r="1293" spans="1:77" x14ac:dyDescent="0.35">
      <c r="A1293" s="7"/>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c r="BL1293" s="7"/>
      <c r="BM1293" s="7"/>
      <c r="BN1293" s="7"/>
      <c r="BO1293" s="7"/>
      <c r="BP1293" s="7"/>
      <c r="BQ1293" s="7"/>
      <c r="BR1293" s="7"/>
      <c r="BS1293" s="7"/>
      <c r="BT1293" s="7"/>
      <c r="BU1293" s="7"/>
      <c r="BV1293" s="7"/>
      <c r="BW1293" s="7"/>
      <c r="BX1293" s="7"/>
      <c r="BY1293" s="7"/>
    </row>
    <row r="1294" spans="1:77" x14ac:dyDescent="0.35">
      <c r="A1294" s="7"/>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c r="BL1294" s="7"/>
      <c r="BM1294" s="7"/>
      <c r="BN1294" s="7"/>
      <c r="BO1294" s="7"/>
      <c r="BP1294" s="7"/>
      <c r="BQ1294" s="7"/>
      <c r="BR1294" s="7"/>
      <c r="BS1294" s="7"/>
      <c r="BT1294" s="7"/>
      <c r="BU1294" s="7"/>
      <c r="BV1294" s="7"/>
      <c r="BW1294" s="7"/>
      <c r="BX1294" s="7"/>
      <c r="BY1294" s="7"/>
    </row>
    <row r="1295" spans="1:77" x14ac:dyDescent="0.35">
      <c r="A1295" s="7"/>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c r="BL1295" s="7"/>
      <c r="BM1295" s="7"/>
      <c r="BN1295" s="7"/>
      <c r="BO1295" s="7"/>
      <c r="BP1295" s="7"/>
      <c r="BQ1295" s="7"/>
      <c r="BR1295" s="7"/>
      <c r="BS1295" s="7"/>
      <c r="BT1295" s="7"/>
      <c r="BU1295" s="7"/>
      <c r="BV1295" s="7"/>
      <c r="BW1295" s="7"/>
      <c r="BX1295" s="7"/>
      <c r="BY1295" s="7"/>
    </row>
    <row r="1296" spans="1:77" x14ac:dyDescent="0.35">
      <c r="A1296" s="7"/>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c r="BL1296" s="7"/>
      <c r="BM1296" s="7"/>
      <c r="BN1296" s="7"/>
      <c r="BO1296" s="7"/>
      <c r="BP1296" s="7"/>
      <c r="BQ1296" s="7"/>
      <c r="BR1296" s="7"/>
      <c r="BS1296" s="7"/>
      <c r="BT1296" s="7"/>
      <c r="BU1296" s="7"/>
      <c r="BV1296" s="7"/>
      <c r="BW1296" s="7"/>
      <c r="BX1296" s="7"/>
      <c r="BY1296" s="7"/>
    </row>
    <row r="1297" spans="1:77" x14ac:dyDescent="0.35">
      <c r="A1297" s="7"/>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c r="BL1297" s="7"/>
      <c r="BM1297" s="7"/>
      <c r="BN1297" s="7"/>
      <c r="BO1297" s="7"/>
      <c r="BP1297" s="7"/>
      <c r="BQ1297" s="7"/>
      <c r="BR1297" s="7"/>
      <c r="BS1297" s="7"/>
      <c r="BT1297" s="7"/>
      <c r="BU1297" s="7"/>
      <c r="BV1297" s="7"/>
      <c r="BW1297" s="7"/>
      <c r="BX1297" s="7"/>
      <c r="BY1297" s="7"/>
    </row>
    <row r="1298" spans="1:77" x14ac:dyDescent="0.35">
      <c r="A1298" s="7"/>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c r="BL1298" s="7"/>
      <c r="BM1298" s="7"/>
      <c r="BN1298" s="7"/>
      <c r="BO1298" s="7"/>
      <c r="BP1298" s="7"/>
      <c r="BQ1298" s="7"/>
      <c r="BR1298" s="7"/>
      <c r="BS1298" s="7"/>
      <c r="BT1298" s="7"/>
      <c r="BU1298" s="7"/>
      <c r="BV1298" s="7"/>
      <c r="BW1298" s="7"/>
      <c r="BX1298" s="7"/>
      <c r="BY1298" s="7"/>
    </row>
    <row r="1299" spans="1:77" x14ac:dyDescent="0.35">
      <c r="A1299" s="7"/>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c r="BL1299" s="7"/>
      <c r="BM1299" s="7"/>
      <c r="BN1299" s="7"/>
      <c r="BO1299" s="7"/>
      <c r="BP1299" s="7"/>
      <c r="BQ1299" s="7"/>
      <c r="BR1299" s="7"/>
      <c r="BS1299" s="7"/>
      <c r="BT1299" s="7"/>
      <c r="BU1299" s="7"/>
      <c r="BV1299" s="7"/>
      <c r="BW1299" s="7"/>
      <c r="BX1299" s="7"/>
      <c r="BY1299" s="7"/>
    </row>
    <row r="1300" spans="1:77" x14ac:dyDescent="0.35">
      <c r="A1300" s="7"/>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c r="BL1300" s="7"/>
      <c r="BM1300" s="7"/>
      <c r="BN1300" s="7"/>
      <c r="BO1300" s="7"/>
      <c r="BP1300" s="7"/>
      <c r="BQ1300" s="7"/>
      <c r="BR1300" s="7"/>
      <c r="BS1300" s="7"/>
      <c r="BT1300" s="7"/>
      <c r="BU1300" s="7"/>
      <c r="BV1300" s="7"/>
      <c r="BW1300" s="7"/>
      <c r="BX1300" s="7"/>
      <c r="BY1300" s="7"/>
    </row>
    <row r="1301" spans="1:77" x14ac:dyDescent="0.35">
      <c r="A1301" s="7"/>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c r="BL1301" s="7"/>
      <c r="BM1301" s="7"/>
      <c r="BN1301" s="7"/>
      <c r="BO1301" s="7"/>
      <c r="BP1301" s="7"/>
      <c r="BQ1301" s="7"/>
      <c r="BR1301" s="7"/>
      <c r="BS1301" s="7"/>
      <c r="BT1301" s="7"/>
      <c r="BU1301" s="7"/>
      <c r="BV1301" s="7"/>
      <c r="BW1301" s="7"/>
      <c r="BX1301" s="7"/>
      <c r="BY1301" s="7"/>
    </row>
    <row r="1302" spans="1:77" x14ac:dyDescent="0.35">
      <c r="A1302" s="7"/>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c r="BL1302" s="7"/>
      <c r="BM1302" s="7"/>
      <c r="BN1302" s="7"/>
      <c r="BO1302" s="7"/>
      <c r="BP1302" s="7"/>
      <c r="BQ1302" s="7"/>
      <c r="BR1302" s="7"/>
      <c r="BS1302" s="7"/>
      <c r="BT1302" s="7"/>
      <c r="BU1302" s="7"/>
      <c r="BV1302" s="7"/>
      <c r="BW1302" s="7"/>
      <c r="BX1302" s="7"/>
      <c r="BY1302" s="7"/>
    </row>
    <row r="1303" spans="1:77" x14ac:dyDescent="0.35">
      <c r="A1303" s="7"/>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c r="BL1303" s="7"/>
      <c r="BM1303" s="7"/>
      <c r="BN1303" s="7"/>
      <c r="BO1303" s="7"/>
      <c r="BP1303" s="7"/>
      <c r="BQ1303" s="7"/>
      <c r="BR1303" s="7"/>
      <c r="BS1303" s="7"/>
      <c r="BT1303" s="7"/>
      <c r="BU1303" s="7"/>
      <c r="BV1303" s="7"/>
      <c r="BW1303" s="7"/>
      <c r="BX1303" s="7"/>
      <c r="BY1303" s="7"/>
    </row>
    <row r="1304" spans="1:77" x14ac:dyDescent="0.35">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c r="BL1304" s="7"/>
      <c r="BM1304" s="7"/>
      <c r="BN1304" s="7"/>
      <c r="BO1304" s="7"/>
      <c r="BP1304" s="7"/>
      <c r="BQ1304" s="7"/>
      <c r="BR1304" s="7"/>
      <c r="BS1304" s="7"/>
      <c r="BT1304" s="7"/>
      <c r="BU1304" s="7"/>
      <c r="BV1304" s="7"/>
      <c r="BW1304" s="7"/>
      <c r="BX1304" s="7"/>
      <c r="BY1304" s="7"/>
    </row>
    <row r="1305" spans="1:77" x14ac:dyDescent="0.35">
      <c r="A1305" s="7"/>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c r="BL1305" s="7"/>
      <c r="BM1305" s="7"/>
      <c r="BN1305" s="7"/>
      <c r="BO1305" s="7"/>
      <c r="BP1305" s="7"/>
      <c r="BQ1305" s="7"/>
      <c r="BR1305" s="7"/>
      <c r="BS1305" s="7"/>
      <c r="BT1305" s="7"/>
      <c r="BU1305" s="7"/>
      <c r="BV1305" s="7"/>
      <c r="BW1305" s="7"/>
      <c r="BX1305" s="7"/>
      <c r="BY1305" s="7"/>
    </row>
    <row r="1306" spans="1:77" x14ac:dyDescent="0.35">
      <c r="A1306" s="7"/>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c r="BL1306" s="7"/>
      <c r="BM1306" s="7"/>
      <c r="BN1306" s="7"/>
      <c r="BO1306" s="7"/>
      <c r="BP1306" s="7"/>
      <c r="BQ1306" s="7"/>
      <c r="BR1306" s="7"/>
      <c r="BS1306" s="7"/>
      <c r="BT1306" s="7"/>
      <c r="BU1306" s="7"/>
      <c r="BV1306" s="7"/>
      <c r="BW1306" s="7"/>
      <c r="BX1306" s="7"/>
      <c r="BY1306" s="7"/>
    </row>
    <row r="1307" spans="1:77" x14ac:dyDescent="0.35">
      <c r="A1307" s="7"/>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c r="BL1307" s="7"/>
      <c r="BM1307" s="7"/>
      <c r="BN1307" s="7"/>
      <c r="BO1307" s="7"/>
      <c r="BP1307" s="7"/>
      <c r="BQ1307" s="7"/>
      <c r="BR1307" s="7"/>
      <c r="BS1307" s="7"/>
      <c r="BT1307" s="7"/>
      <c r="BU1307" s="7"/>
      <c r="BV1307" s="7"/>
      <c r="BW1307" s="7"/>
      <c r="BX1307" s="7"/>
      <c r="BY1307" s="7"/>
    </row>
    <row r="1308" spans="1:77" x14ac:dyDescent="0.35">
      <c r="A1308" s="7"/>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c r="BE1308" s="7"/>
      <c r="BF1308" s="7"/>
      <c r="BG1308" s="7"/>
      <c r="BH1308" s="7"/>
      <c r="BI1308" s="7"/>
      <c r="BJ1308" s="7"/>
      <c r="BK1308" s="7"/>
      <c r="BL1308" s="7"/>
      <c r="BM1308" s="7"/>
      <c r="BN1308" s="7"/>
      <c r="BO1308" s="7"/>
      <c r="BP1308" s="7"/>
      <c r="BQ1308" s="7"/>
      <c r="BR1308" s="7"/>
      <c r="BS1308" s="7"/>
      <c r="BT1308" s="7"/>
      <c r="BU1308" s="7"/>
      <c r="BV1308" s="7"/>
      <c r="BW1308" s="7"/>
      <c r="BX1308" s="7"/>
      <c r="BY1308" s="7"/>
    </row>
    <row r="1309" spans="1:77" x14ac:dyDescent="0.35">
      <c r="A1309" s="7"/>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c r="BL1309" s="7"/>
      <c r="BM1309" s="7"/>
      <c r="BN1309" s="7"/>
      <c r="BO1309" s="7"/>
      <c r="BP1309" s="7"/>
      <c r="BQ1309" s="7"/>
      <c r="BR1309" s="7"/>
      <c r="BS1309" s="7"/>
      <c r="BT1309" s="7"/>
      <c r="BU1309" s="7"/>
      <c r="BV1309" s="7"/>
      <c r="BW1309" s="7"/>
      <c r="BX1309" s="7"/>
      <c r="BY1309" s="7"/>
    </row>
    <row r="1310" spans="1:77" x14ac:dyDescent="0.35">
      <c r="A1310" s="7"/>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c r="BL1310" s="7"/>
      <c r="BM1310" s="7"/>
      <c r="BN1310" s="7"/>
      <c r="BO1310" s="7"/>
      <c r="BP1310" s="7"/>
      <c r="BQ1310" s="7"/>
      <c r="BR1310" s="7"/>
      <c r="BS1310" s="7"/>
      <c r="BT1310" s="7"/>
      <c r="BU1310" s="7"/>
      <c r="BV1310" s="7"/>
      <c r="BW1310" s="7"/>
      <c r="BX1310" s="7"/>
      <c r="BY1310" s="7"/>
    </row>
    <row r="1311" spans="1:77" x14ac:dyDescent="0.35">
      <c r="A1311" s="7"/>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c r="BL1311" s="7"/>
      <c r="BM1311" s="7"/>
      <c r="BN1311" s="7"/>
      <c r="BO1311" s="7"/>
      <c r="BP1311" s="7"/>
      <c r="BQ1311" s="7"/>
      <c r="BR1311" s="7"/>
      <c r="BS1311" s="7"/>
      <c r="BT1311" s="7"/>
      <c r="BU1311" s="7"/>
      <c r="BV1311" s="7"/>
      <c r="BW1311" s="7"/>
      <c r="BX1311" s="7"/>
      <c r="BY1311" s="7"/>
    </row>
    <row r="1312" spans="1:77" x14ac:dyDescent="0.35">
      <c r="A1312" s="7"/>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c r="BL1312" s="7"/>
      <c r="BM1312" s="7"/>
      <c r="BN1312" s="7"/>
      <c r="BO1312" s="7"/>
      <c r="BP1312" s="7"/>
      <c r="BQ1312" s="7"/>
      <c r="BR1312" s="7"/>
      <c r="BS1312" s="7"/>
      <c r="BT1312" s="7"/>
      <c r="BU1312" s="7"/>
      <c r="BV1312" s="7"/>
      <c r="BW1312" s="7"/>
      <c r="BX1312" s="7"/>
      <c r="BY1312" s="7"/>
    </row>
    <row r="1313" spans="1:77" x14ac:dyDescent="0.35">
      <c r="A1313" s="7"/>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c r="BL1313" s="7"/>
      <c r="BM1313" s="7"/>
      <c r="BN1313" s="7"/>
      <c r="BO1313" s="7"/>
      <c r="BP1313" s="7"/>
      <c r="BQ1313" s="7"/>
      <c r="BR1313" s="7"/>
      <c r="BS1313" s="7"/>
      <c r="BT1313" s="7"/>
      <c r="BU1313" s="7"/>
      <c r="BV1313" s="7"/>
      <c r="BW1313" s="7"/>
      <c r="BX1313" s="7"/>
      <c r="BY1313" s="7"/>
    </row>
    <row r="1314" spans="1:77" x14ac:dyDescent="0.35">
      <c r="A1314" s="7"/>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c r="BL1314" s="7"/>
      <c r="BM1314" s="7"/>
      <c r="BN1314" s="7"/>
      <c r="BO1314" s="7"/>
      <c r="BP1314" s="7"/>
      <c r="BQ1314" s="7"/>
      <c r="BR1314" s="7"/>
      <c r="BS1314" s="7"/>
      <c r="BT1314" s="7"/>
      <c r="BU1314" s="7"/>
      <c r="BV1314" s="7"/>
      <c r="BW1314" s="7"/>
      <c r="BX1314" s="7"/>
      <c r="BY1314" s="7"/>
    </row>
    <row r="1315" spans="1:77" x14ac:dyDescent="0.35">
      <c r="A1315" s="7"/>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c r="BL1315" s="7"/>
      <c r="BM1315" s="7"/>
      <c r="BN1315" s="7"/>
      <c r="BO1315" s="7"/>
      <c r="BP1315" s="7"/>
      <c r="BQ1315" s="7"/>
      <c r="BR1315" s="7"/>
      <c r="BS1315" s="7"/>
      <c r="BT1315" s="7"/>
      <c r="BU1315" s="7"/>
      <c r="BV1315" s="7"/>
      <c r="BW1315" s="7"/>
      <c r="BX1315" s="7"/>
      <c r="BY1315" s="7"/>
    </row>
    <row r="1316" spans="1:77" x14ac:dyDescent="0.35">
      <c r="A1316" s="7"/>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c r="BL1316" s="7"/>
      <c r="BM1316" s="7"/>
      <c r="BN1316" s="7"/>
      <c r="BO1316" s="7"/>
      <c r="BP1316" s="7"/>
      <c r="BQ1316" s="7"/>
      <c r="BR1316" s="7"/>
      <c r="BS1316" s="7"/>
      <c r="BT1316" s="7"/>
      <c r="BU1316" s="7"/>
      <c r="BV1316" s="7"/>
      <c r="BW1316" s="7"/>
      <c r="BX1316" s="7"/>
      <c r="BY1316" s="7"/>
    </row>
    <row r="1317" spans="1:77" x14ac:dyDescent="0.35">
      <c r="A1317" s="7"/>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c r="BL1317" s="7"/>
      <c r="BM1317" s="7"/>
      <c r="BN1317" s="7"/>
      <c r="BO1317" s="7"/>
      <c r="BP1317" s="7"/>
      <c r="BQ1317" s="7"/>
      <c r="BR1317" s="7"/>
      <c r="BS1317" s="7"/>
      <c r="BT1317" s="7"/>
      <c r="BU1317" s="7"/>
      <c r="BV1317" s="7"/>
      <c r="BW1317" s="7"/>
      <c r="BX1317" s="7"/>
      <c r="BY1317" s="7"/>
    </row>
    <row r="1318" spans="1:77" x14ac:dyDescent="0.35">
      <c r="A1318" s="7"/>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c r="BL1318" s="7"/>
      <c r="BM1318" s="7"/>
      <c r="BN1318" s="7"/>
      <c r="BO1318" s="7"/>
      <c r="BP1318" s="7"/>
      <c r="BQ1318" s="7"/>
      <c r="BR1318" s="7"/>
      <c r="BS1318" s="7"/>
      <c r="BT1318" s="7"/>
      <c r="BU1318" s="7"/>
      <c r="BV1318" s="7"/>
      <c r="BW1318" s="7"/>
      <c r="BX1318" s="7"/>
      <c r="BY1318" s="7"/>
    </row>
    <row r="1319" spans="1:77" x14ac:dyDescent="0.35">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c r="BW1319" s="7"/>
      <c r="BX1319" s="7"/>
      <c r="BY1319" s="7"/>
    </row>
    <row r="1320" spans="1:77" x14ac:dyDescent="0.35">
      <c r="A1320" s="7"/>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c r="BL1320" s="7"/>
      <c r="BM1320" s="7"/>
      <c r="BN1320" s="7"/>
      <c r="BO1320" s="7"/>
      <c r="BP1320" s="7"/>
      <c r="BQ1320" s="7"/>
      <c r="BR1320" s="7"/>
      <c r="BS1320" s="7"/>
      <c r="BT1320" s="7"/>
      <c r="BU1320" s="7"/>
      <c r="BV1320" s="7"/>
      <c r="BW1320" s="7"/>
      <c r="BX1320" s="7"/>
      <c r="BY1320" s="7"/>
    </row>
    <row r="1321" spans="1:77" x14ac:dyDescent="0.35">
      <c r="A1321" s="7"/>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c r="BY1321" s="7"/>
    </row>
    <row r="1322" spans="1:77" x14ac:dyDescent="0.35">
      <c r="A1322" s="7"/>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c r="BL1322" s="7"/>
      <c r="BM1322" s="7"/>
      <c r="BN1322" s="7"/>
      <c r="BO1322" s="7"/>
      <c r="BP1322" s="7"/>
      <c r="BQ1322" s="7"/>
      <c r="BR1322" s="7"/>
      <c r="BS1322" s="7"/>
      <c r="BT1322" s="7"/>
      <c r="BU1322" s="7"/>
      <c r="BV1322" s="7"/>
      <c r="BW1322" s="7"/>
      <c r="BX1322" s="7"/>
      <c r="BY1322" s="7"/>
    </row>
    <row r="1323" spans="1:77" x14ac:dyDescent="0.35">
      <c r="A1323" s="7"/>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c r="BL1323" s="7"/>
      <c r="BM1323" s="7"/>
      <c r="BN1323" s="7"/>
      <c r="BO1323" s="7"/>
      <c r="BP1323" s="7"/>
      <c r="BQ1323" s="7"/>
      <c r="BR1323" s="7"/>
      <c r="BS1323" s="7"/>
      <c r="BT1323" s="7"/>
      <c r="BU1323" s="7"/>
      <c r="BV1323" s="7"/>
      <c r="BW1323" s="7"/>
      <c r="BX1323" s="7"/>
      <c r="BY1323" s="7"/>
    </row>
    <row r="1324" spans="1:77" x14ac:dyDescent="0.35">
      <c r="A1324" s="7"/>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c r="BL1324" s="7"/>
      <c r="BM1324" s="7"/>
      <c r="BN1324" s="7"/>
      <c r="BO1324" s="7"/>
      <c r="BP1324" s="7"/>
      <c r="BQ1324" s="7"/>
      <c r="BR1324" s="7"/>
      <c r="BS1324" s="7"/>
      <c r="BT1324" s="7"/>
      <c r="BU1324" s="7"/>
      <c r="BV1324" s="7"/>
      <c r="BW1324" s="7"/>
      <c r="BX1324" s="7"/>
      <c r="BY1324" s="7"/>
    </row>
    <row r="1325" spans="1:77" x14ac:dyDescent="0.35">
      <c r="A1325" s="7"/>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c r="BL1325" s="7"/>
      <c r="BM1325" s="7"/>
      <c r="BN1325" s="7"/>
      <c r="BO1325" s="7"/>
      <c r="BP1325" s="7"/>
      <c r="BQ1325" s="7"/>
      <c r="BR1325" s="7"/>
      <c r="BS1325" s="7"/>
      <c r="BT1325" s="7"/>
      <c r="BU1325" s="7"/>
      <c r="BV1325" s="7"/>
      <c r="BW1325" s="7"/>
      <c r="BX1325" s="7"/>
      <c r="BY1325" s="7"/>
    </row>
    <row r="1326" spans="1:77" x14ac:dyDescent="0.35">
      <c r="A1326" s="7"/>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c r="BL1326" s="7"/>
      <c r="BM1326" s="7"/>
      <c r="BN1326" s="7"/>
      <c r="BO1326" s="7"/>
      <c r="BP1326" s="7"/>
      <c r="BQ1326" s="7"/>
      <c r="BR1326" s="7"/>
      <c r="BS1326" s="7"/>
      <c r="BT1326" s="7"/>
      <c r="BU1326" s="7"/>
      <c r="BV1326" s="7"/>
      <c r="BW1326" s="7"/>
      <c r="BX1326" s="7"/>
      <c r="BY1326" s="7"/>
    </row>
    <row r="1327" spans="1:77" x14ac:dyDescent="0.35">
      <c r="A1327" s="7"/>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c r="BL1327" s="7"/>
      <c r="BM1327" s="7"/>
      <c r="BN1327" s="7"/>
      <c r="BO1327" s="7"/>
      <c r="BP1327" s="7"/>
      <c r="BQ1327" s="7"/>
      <c r="BR1327" s="7"/>
      <c r="BS1327" s="7"/>
      <c r="BT1327" s="7"/>
      <c r="BU1327" s="7"/>
      <c r="BV1327" s="7"/>
      <c r="BW1327" s="7"/>
      <c r="BX1327" s="7"/>
      <c r="BY1327" s="7"/>
    </row>
    <row r="1328" spans="1:77" x14ac:dyDescent="0.35">
      <c r="A1328" s="7"/>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c r="BL1328" s="7"/>
      <c r="BM1328" s="7"/>
      <c r="BN1328" s="7"/>
      <c r="BO1328" s="7"/>
      <c r="BP1328" s="7"/>
      <c r="BQ1328" s="7"/>
      <c r="BR1328" s="7"/>
      <c r="BS1328" s="7"/>
      <c r="BT1328" s="7"/>
      <c r="BU1328" s="7"/>
      <c r="BV1328" s="7"/>
      <c r="BW1328" s="7"/>
      <c r="BX1328" s="7"/>
      <c r="BY1328" s="7"/>
    </row>
    <row r="1329" spans="1:77" x14ac:dyDescent="0.35">
      <c r="A1329" s="7"/>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c r="BL1329" s="7"/>
      <c r="BM1329" s="7"/>
      <c r="BN1329" s="7"/>
      <c r="BO1329" s="7"/>
      <c r="BP1329" s="7"/>
      <c r="BQ1329" s="7"/>
      <c r="BR1329" s="7"/>
      <c r="BS1329" s="7"/>
      <c r="BT1329" s="7"/>
      <c r="BU1329" s="7"/>
      <c r="BV1329" s="7"/>
      <c r="BW1329" s="7"/>
      <c r="BX1329" s="7"/>
      <c r="BY1329" s="7"/>
    </row>
    <row r="1330" spans="1:77" x14ac:dyDescent="0.35">
      <c r="A1330" s="7"/>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c r="BL1330" s="7"/>
      <c r="BM1330" s="7"/>
      <c r="BN1330" s="7"/>
      <c r="BO1330" s="7"/>
      <c r="BP1330" s="7"/>
      <c r="BQ1330" s="7"/>
      <c r="BR1330" s="7"/>
      <c r="BS1330" s="7"/>
      <c r="BT1330" s="7"/>
      <c r="BU1330" s="7"/>
      <c r="BV1330" s="7"/>
      <c r="BW1330" s="7"/>
      <c r="BX1330" s="7"/>
      <c r="BY1330" s="7"/>
    </row>
    <row r="1331" spans="1:77" x14ac:dyDescent="0.35">
      <c r="A1331" s="7"/>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c r="BW1331" s="7"/>
      <c r="BX1331" s="7"/>
      <c r="BY1331" s="7"/>
    </row>
    <row r="1332" spans="1:77" x14ac:dyDescent="0.35">
      <c r="A1332" s="7"/>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c r="AB1332" s="7"/>
      <c r="AC1332" s="7"/>
      <c r="AD1332" s="7"/>
      <c r="AE1332" s="7"/>
      <c r="AF1332" s="7"/>
      <c r="AG1332" s="7"/>
      <c r="AH1332" s="7"/>
      <c r="AI1332" s="7"/>
      <c r="AJ1332" s="7"/>
      <c r="AK1332" s="7"/>
      <c r="AL1332" s="7"/>
      <c r="AM1332" s="7"/>
      <c r="AN1332" s="7"/>
      <c r="AO1332" s="7"/>
      <c r="AP1332" s="7"/>
      <c r="AQ1332" s="7"/>
      <c r="AR1332" s="7"/>
      <c r="AS1332" s="7"/>
      <c r="AT1332" s="7"/>
      <c r="AU1332" s="7"/>
      <c r="AV1332" s="7"/>
      <c r="AW1332" s="7"/>
      <c r="AX1332" s="7"/>
      <c r="AY1332" s="7"/>
      <c r="AZ1332" s="7"/>
      <c r="BA1332" s="7"/>
      <c r="BB1332" s="7"/>
      <c r="BC1332" s="7"/>
      <c r="BD1332" s="7"/>
      <c r="BE1332" s="7"/>
      <c r="BF1332" s="7"/>
      <c r="BG1332" s="7"/>
      <c r="BH1332" s="7"/>
      <c r="BI1332" s="7"/>
      <c r="BJ1332" s="7"/>
      <c r="BK1332" s="7"/>
      <c r="BL1332" s="7"/>
      <c r="BM1332" s="7"/>
      <c r="BN1332" s="7"/>
      <c r="BO1332" s="7"/>
      <c r="BP1332" s="7"/>
      <c r="BQ1332" s="7"/>
      <c r="BR1332" s="7"/>
      <c r="BS1332" s="7"/>
      <c r="BT1332" s="7"/>
      <c r="BU1332" s="7"/>
      <c r="BV1332" s="7"/>
      <c r="BW1332" s="7"/>
      <c r="BX1332" s="7"/>
      <c r="BY1332" s="7"/>
    </row>
    <row r="1333" spans="1:77" x14ac:dyDescent="0.35">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c r="BW1333" s="7"/>
      <c r="BX1333" s="7"/>
      <c r="BY1333" s="7"/>
    </row>
    <row r="1334" spans="1:77" x14ac:dyDescent="0.35">
      <c r="A1334" s="7"/>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c r="AB1334" s="7"/>
      <c r="AC1334" s="7"/>
      <c r="AD1334" s="7"/>
      <c r="AE1334" s="7"/>
      <c r="AF1334" s="7"/>
      <c r="AG1334" s="7"/>
      <c r="AH1334" s="7"/>
      <c r="AI1334" s="7"/>
      <c r="AJ1334" s="7"/>
      <c r="AK1334" s="7"/>
      <c r="AL1334" s="7"/>
      <c r="AM1334" s="7"/>
      <c r="AN1334" s="7"/>
      <c r="AO1334" s="7"/>
      <c r="AP1334" s="7"/>
      <c r="AQ1334" s="7"/>
      <c r="AR1334" s="7"/>
      <c r="AS1334" s="7"/>
      <c r="AT1334" s="7"/>
      <c r="AU1334" s="7"/>
      <c r="AV1334" s="7"/>
      <c r="AW1334" s="7"/>
      <c r="AX1334" s="7"/>
      <c r="AY1334" s="7"/>
      <c r="AZ1334" s="7"/>
      <c r="BA1334" s="7"/>
      <c r="BB1334" s="7"/>
      <c r="BC1334" s="7"/>
      <c r="BD1334" s="7"/>
      <c r="BE1334" s="7"/>
      <c r="BF1334" s="7"/>
      <c r="BG1334" s="7"/>
      <c r="BH1334" s="7"/>
      <c r="BI1334" s="7"/>
      <c r="BJ1334" s="7"/>
      <c r="BK1334" s="7"/>
      <c r="BL1334" s="7"/>
      <c r="BM1334" s="7"/>
      <c r="BN1334" s="7"/>
      <c r="BO1334" s="7"/>
      <c r="BP1334" s="7"/>
      <c r="BQ1334" s="7"/>
      <c r="BR1334" s="7"/>
      <c r="BS1334" s="7"/>
      <c r="BT1334" s="7"/>
      <c r="BU1334" s="7"/>
      <c r="BV1334" s="7"/>
      <c r="BW1334" s="7"/>
      <c r="BX1334" s="7"/>
      <c r="BY1334" s="7"/>
    </row>
    <row r="1335" spans="1:77" x14ac:dyDescent="0.35">
      <c r="A1335" s="7"/>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c r="AB1335" s="7"/>
      <c r="AC1335" s="7"/>
      <c r="AD1335" s="7"/>
      <c r="AE1335" s="7"/>
      <c r="AF1335" s="7"/>
      <c r="AG1335" s="7"/>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c r="BE1335" s="7"/>
      <c r="BF1335" s="7"/>
      <c r="BG1335" s="7"/>
      <c r="BH1335" s="7"/>
      <c r="BI1335" s="7"/>
      <c r="BJ1335" s="7"/>
      <c r="BK1335" s="7"/>
      <c r="BL1335" s="7"/>
      <c r="BM1335" s="7"/>
      <c r="BN1335" s="7"/>
      <c r="BO1335" s="7"/>
      <c r="BP1335" s="7"/>
      <c r="BQ1335" s="7"/>
      <c r="BR1335" s="7"/>
      <c r="BS1335" s="7"/>
      <c r="BT1335" s="7"/>
      <c r="BU1335" s="7"/>
      <c r="BV1335" s="7"/>
      <c r="BW1335" s="7"/>
      <c r="BX1335" s="7"/>
      <c r="BY1335" s="7"/>
    </row>
    <row r="1336" spans="1:77" x14ac:dyDescent="0.35">
      <c r="A1336" s="7"/>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c r="AB1336" s="7"/>
      <c r="AC1336" s="7"/>
      <c r="AD1336" s="7"/>
      <c r="AE1336" s="7"/>
      <c r="AF1336" s="7"/>
      <c r="AG1336" s="7"/>
      <c r="AH1336" s="7"/>
      <c r="AI1336" s="7"/>
      <c r="AJ1336" s="7"/>
      <c r="AK1336" s="7"/>
      <c r="AL1336" s="7"/>
      <c r="AM1336" s="7"/>
      <c r="AN1336" s="7"/>
      <c r="AO1336" s="7"/>
      <c r="AP1336" s="7"/>
      <c r="AQ1336" s="7"/>
      <c r="AR1336" s="7"/>
      <c r="AS1336" s="7"/>
      <c r="AT1336" s="7"/>
      <c r="AU1336" s="7"/>
      <c r="AV1336" s="7"/>
      <c r="AW1336" s="7"/>
      <c r="AX1336" s="7"/>
      <c r="AY1336" s="7"/>
      <c r="AZ1336" s="7"/>
      <c r="BA1336" s="7"/>
      <c r="BB1336" s="7"/>
      <c r="BC1336" s="7"/>
      <c r="BD1336" s="7"/>
      <c r="BE1336" s="7"/>
      <c r="BF1336" s="7"/>
      <c r="BG1336" s="7"/>
      <c r="BH1336" s="7"/>
      <c r="BI1336" s="7"/>
      <c r="BJ1336" s="7"/>
      <c r="BK1336" s="7"/>
      <c r="BL1336" s="7"/>
      <c r="BM1336" s="7"/>
      <c r="BN1336" s="7"/>
      <c r="BO1336" s="7"/>
      <c r="BP1336" s="7"/>
      <c r="BQ1336" s="7"/>
      <c r="BR1336" s="7"/>
      <c r="BS1336" s="7"/>
      <c r="BT1336" s="7"/>
      <c r="BU1336" s="7"/>
      <c r="BV1336" s="7"/>
      <c r="BW1336" s="7"/>
      <c r="BX1336" s="7"/>
      <c r="BY1336" s="7"/>
    </row>
    <row r="1337" spans="1:77" x14ac:dyDescent="0.35">
      <c r="A1337" s="7"/>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c r="AB1337" s="7"/>
      <c r="AC1337" s="7"/>
      <c r="AD1337" s="7"/>
      <c r="AE1337" s="7"/>
      <c r="AF1337" s="7"/>
      <c r="AG1337" s="7"/>
      <c r="AH1337" s="7"/>
      <c r="AI1337" s="7"/>
      <c r="AJ1337" s="7"/>
      <c r="AK1337" s="7"/>
      <c r="AL1337" s="7"/>
      <c r="AM1337" s="7"/>
      <c r="AN1337" s="7"/>
      <c r="AO1337" s="7"/>
      <c r="AP1337" s="7"/>
      <c r="AQ1337" s="7"/>
      <c r="AR1337" s="7"/>
      <c r="AS1337" s="7"/>
      <c r="AT1337" s="7"/>
      <c r="AU1337" s="7"/>
      <c r="AV1337" s="7"/>
      <c r="AW1337" s="7"/>
      <c r="AX1337" s="7"/>
      <c r="AY1337" s="7"/>
      <c r="AZ1337" s="7"/>
      <c r="BA1337" s="7"/>
      <c r="BB1337" s="7"/>
      <c r="BC1337" s="7"/>
      <c r="BD1337" s="7"/>
      <c r="BE1337" s="7"/>
      <c r="BF1337" s="7"/>
      <c r="BG1337" s="7"/>
      <c r="BH1337" s="7"/>
      <c r="BI1337" s="7"/>
      <c r="BJ1337" s="7"/>
      <c r="BK1337" s="7"/>
      <c r="BL1337" s="7"/>
      <c r="BM1337" s="7"/>
      <c r="BN1337" s="7"/>
      <c r="BO1337" s="7"/>
      <c r="BP1337" s="7"/>
      <c r="BQ1337" s="7"/>
      <c r="BR1337" s="7"/>
      <c r="BS1337" s="7"/>
      <c r="BT1337" s="7"/>
      <c r="BU1337" s="7"/>
      <c r="BV1337" s="7"/>
      <c r="BW1337" s="7"/>
      <c r="BX1337" s="7"/>
      <c r="BY1337" s="7"/>
    </row>
    <row r="1338" spans="1:77" x14ac:dyDescent="0.35">
      <c r="A1338" s="7"/>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c r="AB1338" s="7"/>
      <c r="AC1338" s="7"/>
      <c r="AD1338" s="7"/>
      <c r="AE1338" s="7"/>
      <c r="AF1338" s="7"/>
      <c r="AG1338" s="7"/>
      <c r="AH1338" s="7"/>
      <c r="AI1338" s="7"/>
      <c r="AJ1338" s="7"/>
      <c r="AK1338" s="7"/>
      <c r="AL1338" s="7"/>
      <c r="AM1338" s="7"/>
      <c r="AN1338" s="7"/>
      <c r="AO1338" s="7"/>
      <c r="AP1338" s="7"/>
      <c r="AQ1338" s="7"/>
      <c r="AR1338" s="7"/>
      <c r="AS1338" s="7"/>
      <c r="AT1338" s="7"/>
      <c r="AU1338" s="7"/>
      <c r="AV1338" s="7"/>
      <c r="AW1338" s="7"/>
      <c r="AX1338" s="7"/>
      <c r="AY1338" s="7"/>
      <c r="AZ1338" s="7"/>
      <c r="BA1338" s="7"/>
      <c r="BB1338" s="7"/>
      <c r="BC1338" s="7"/>
      <c r="BD1338" s="7"/>
      <c r="BE1338" s="7"/>
      <c r="BF1338" s="7"/>
      <c r="BG1338" s="7"/>
      <c r="BH1338" s="7"/>
      <c r="BI1338" s="7"/>
      <c r="BJ1338" s="7"/>
      <c r="BK1338" s="7"/>
      <c r="BL1338" s="7"/>
      <c r="BM1338" s="7"/>
      <c r="BN1338" s="7"/>
      <c r="BO1338" s="7"/>
      <c r="BP1338" s="7"/>
      <c r="BQ1338" s="7"/>
      <c r="BR1338" s="7"/>
      <c r="BS1338" s="7"/>
      <c r="BT1338" s="7"/>
      <c r="BU1338" s="7"/>
      <c r="BV1338" s="7"/>
      <c r="BW1338" s="7"/>
      <c r="BX1338" s="7"/>
      <c r="BY1338" s="7"/>
    </row>
    <row r="1339" spans="1:77" x14ac:dyDescent="0.35">
      <c r="A1339" s="7"/>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c r="AB1339" s="7"/>
      <c r="AC1339" s="7"/>
      <c r="AD1339" s="7"/>
      <c r="AE1339" s="7"/>
      <c r="AF1339" s="7"/>
      <c r="AG1339" s="7"/>
      <c r="AH1339" s="7"/>
      <c r="AI1339" s="7"/>
      <c r="AJ1339" s="7"/>
      <c r="AK1339" s="7"/>
      <c r="AL1339" s="7"/>
      <c r="AM1339" s="7"/>
      <c r="AN1339" s="7"/>
      <c r="AO1339" s="7"/>
      <c r="AP1339" s="7"/>
      <c r="AQ1339" s="7"/>
      <c r="AR1339" s="7"/>
      <c r="AS1339" s="7"/>
      <c r="AT1339" s="7"/>
      <c r="AU1339" s="7"/>
      <c r="AV1339" s="7"/>
      <c r="AW1339" s="7"/>
      <c r="AX1339" s="7"/>
      <c r="AY1339" s="7"/>
      <c r="AZ1339" s="7"/>
      <c r="BA1339" s="7"/>
      <c r="BB1339" s="7"/>
      <c r="BC1339" s="7"/>
      <c r="BD1339" s="7"/>
      <c r="BE1339" s="7"/>
      <c r="BF1339" s="7"/>
      <c r="BG1339" s="7"/>
      <c r="BH1339" s="7"/>
      <c r="BI1339" s="7"/>
      <c r="BJ1339" s="7"/>
      <c r="BK1339" s="7"/>
      <c r="BL1339" s="7"/>
      <c r="BM1339" s="7"/>
      <c r="BN1339" s="7"/>
      <c r="BO1339" s="7"/>
      <c r="BP1339" s="7"/>
      <c r="BQ1339" s="7"/>
      <c r="BR1339" s="7"/>
      <c r="BS1339" s="7"/>
      <c r="BT1339" s="7"/>
      <c r="BU1339" s="7"/>
      <c r="BV1339" s="7"/>
      <c r="BW1339" s="7"/>
      <c r="BX1339" s="7"/>
      <c r="BY1339" s="7"/>
    </row>
    <row r="1340" spans="1:77" x14ac:dyDescent="0.35">
      <c r="A1340" s="7"/>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c r="AB1340" s="7"/>
      <c r="AC1340" s="7"/>
      <c r="AD1340" s="7"/>
      <c r="AE1340" s="7"/>
      <c r="AF1340" s="7"/>
      <c r="AG1340" s="7"/>
      <c r="AH1340" s="7"/>
      <c r="AI1340" s="7"/>
      <c r="AJ1340" s="7"/>
      <c r="AK1340" s="7"/>
      <c r="AL1340" s="7"/>
      <c r="AM1340" s="7"/>
      <c r="AN1340" s="7"/>
      <c r="AO1340" s="7"/>
      <c r="AP1340" s="7"/>
      <c r="AQ1340" s="7"/>
      <c r="AR1340" s="7"/>
      <c r="AS1340" s="7"/>
      <c r="AT1340" s="7"/>
      <c r="AU1340" s="7"/>
      <c r="AV1340" s="7"/>
      <c r="AW1340" s="7"/>
      <c r="AX1340" s="7"/>
      <c r="AY1340" s="7"/>
      <c r="AZ1340" s="7"/>
      <c r="BA1340" s="7"/>
      <c r="BB1340" s="7"/>
      <c r="BC1340" s="7"/>
      <c r="BD1340" s="7"/>
      <c r="BE1340" s="7"/>
      <c r="BF1340" s="7"/>
      <c r="BG1340" s="7"/>
      <c r="BH1340" s="7"/>
      <c r="BI1340" s="7"/>
      <c r="BJ1340" s="7"/>
      <c r="BK1340" s="7"/>
      <c r="BL1340" s="7"/>
      <c r="BM1340" s="7"/>
      <c r="BN1340" s="7"/>
      <c r="BO1340" s="7"/>
      <c r="BP1340" s="7"/>
      <c r="BQ1340" s="7"/>
      <c r="BR1340" s="7"/>
      <c r="BS1340" s="7"/>
      <c r="BT1340" s="7"/>
      <c r="BU1340" s="7"/>
      <c r="BV1340" s="7"/>
      <c r="BW1340" s="7"/>
      <c r="BX1340" s="7"/>
      <c r="BY1340" s="7"/>
    </row>
    <row r="1341" spans="1:77" x14ac:dyDescent="0.35">
      <c r="A1341" s="7"/>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row>
    <row r="1342" spans="1:77" x14ac:dyDescent="0.35">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c r="BE1342" s="7"/>
      <c r="BF1342" s="7"/>
      <c r="BG1342" s="7"/>
      <c r="BH1342" s="7"/>
      <c r="BI1342" s="7"/>
      <c r="BJ1342" s="7"/>
      <c r="BK1342" s="7"/>
      <c r="BL1342" s="7"/>
      <c r="BM1342" s="7"/>
      <c r="BN1342" s="7"/>
      <c r="BO1342" s="7"/>
      <c r="BP1342" s="7"/>
      <c r="BQ1342" s="7"/>
      <c r="BR1342" s="7"/>
      <c r="BS1342" s="7"/>
      <c r="BT1342" s="7"/>
      <c r="BU1342" s="7"/>
      <c r="BV1342" s="7"/>
      <c r="BW1342" s="7"/>
      <c r="BX1342" s="7"/>
      <c r="BY1342" s="7"/>
    </row>
    <row r="1343" spans="1:77" x14ac:dyDescent="0.35">
      <c r="A1343" s="7"/>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c r="AB1343" s="7"/>
      <c r="AC1343" s="7"/>
      <c r="AD1343" s="7"/>
      <c r="AE1343" s="7"/>
      <c r="AF1343" s="7"/>
      <c r="AG1343" s="7"/>
      <c r="AH1343" s="7"/>
      <c r="AI1343" s="7"/>
      <c r="AJ1343" s="7"/>
      <c r="AK1343" s="7"/>
      <c r="AL1343" s="7"/>
      <c r="AM1343" s="7"/>
      <c r="AN1343" s="7"/>
      <c r="AO1343" s="7"/>
      <c r="AP1343" s="7"/>
      <c r="AQ1343" s="7"/>
      <c r="AR1343" s="7"/>
      <c r="AS1343" s="7"/>
      <c r="AT1343" s="7"/>
      <c r="AU1343" s="7"/>
      <c r="AV1343" s="7"/>
      <c r="AW1343" s="7"/>
      <c r="AX1343" s="7"/>
      <c r="AY1343" s="7"/>
      <c r="AZ1343" s="7"/>
      <c r="BA1343" s="7"/>
      <c r="BB1343" s="7"/>
      <c r="BC1343" s="7"/>
      <c r="BD1343" s="7"/>
      <c r="BE1343" s="7"/>
      <c r="BF1343" s="7"/>
      <c r="BG1343" s="7"/>
      <c r="BH1343" s="7"/>
      <c r="BI1343" s="7"/>
      <c r="BJ1343" s="7"/>
      <c r="BK1343" s="7"/>
      <c r="BL1343" s="7"/>
      <c r="BM1343" s="7"/>
      <c r="BN1343" s="7"/>
      <c r="BO1343" s="7"/>
      <c r="BP1343" s="7"/>
      <c r="BQ1343" s="7"/>
      <c r="BR1343" s="7"/>
      <c r="BS1343" s="7"/>
      <c r="BT1343" s="7"/>
      <c r="BU1343" s="7"/>
      <c r="BV1343" s="7"/>
      <c r="BW1343" s="7"/>
      <c r="BX1343" s="7"/>
      <c r="BY1343" s="7"/>
    </row>
    <row r="1344" spans="1:77" x14ac:dyDescent="0.35">
      <c r="A1344" s="7"/>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c r="AF1344" s="7"/>
      <c r="AG1344" s="7"/>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c r="BE1344" s="7"/>
      <c r="BF1344" s="7"/>
      <c r="BG1344" s="7"/>
      <c r="BH1344" s="7"/>
      <c r="BI1344" s="7"/>
      <c r="BJ1344" s="7"/>
      <c r="BK1344" s="7"/>
      <c r="BL1344" s="7"/>
      <c r="BM1344" s="7"/>
      <c r="BN1344" s="7"/>
      <c r="BO1344" s="7"/>
      <c r="BP1344" s="7"/>
      <c r="BQ1344" s="7"/>
      <c r="BR1344" s="7"/>
      <c r="BS1344" s="7"/>
      <c r="BT1344" s="7"/>
      <c r="BU1344" s="7"/>
      <c r="BV1344" s="7"/>
      <c r="BW1344" s="7"/>
      <c r="BX1344" s="7"/>
      <c r="BY1344" s="7"/>
    </row>
    <row r="1345" spans="1:77" x14ac:dyDescent="0.35">
      <c r="A1345" s="7"/>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c r="BE1345" s="7"/>
      <c r="BF1345" s="7"/>
      <c r="BG1345" s="7"/>
      <c r="BH1345" s="7"/>
      <c r="BI1345" s="7"/>
      <c r="BJ1345" s="7"/>
      <c r="BK1345" s="7"/>
      <c r="BL1345" s="7"/>
      <c r="BM1345" s="7"/>
      <c r="BN1345" s="7"/>
      <c r="BO1345" s="7"/>
      <c r="BP1345" s="7"/>
      <c r="BQ1345" s="7"/>
      <c r="BR1345" s="7"/>
      <c r="BS1345" s="7"/>
      <c r="BT1345" s="7"/>
      <c r="BU1345" s="7"/>
      <c r="BV1345" s="7"/>
      <c r="BW1345" s="7"/>
      <c r="BX1345" s="7"/>
      <c r="BY1345" s="7"/>
    </row>
    <row r="1346" spans="1:77" x14ac:dyDescent="0.35">
      <c r="A1346" s="7"/>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c r="BE1346" s="7"/>
      <c r="BF1346" s="7"/>
      <c r="BG1346" s="7"/>
      <c r="BH1346" s="7"/>
      <c r="BI1346" s="7"/>
      <c r="BJ1346" s="7"/>
      <c r="BK1346" s="7"/>
      <c r="BL1346" s="7"/>
      <c r="BM1346" s="7"/>
      <c r="BN1346" s="7"/>
      <c r="BO1346" s="7"/>
      <c r="BP1346" s="7"/>
      <c r="BQ1346" s="7"/>
      <c r="BR1346" s="7"/>
      <c r="BS1346" s="7"/>
      <c r="BT1346" s="7"/>
      <c r="BU1346" s="7"/>
      <c r="BV1346" s="7"/>
      <c r="BW1346" s="7"/>
      <c r="BX1346" s="7"/>
      <c r="BY1346" s="7"/>
    </row>
    <row r="1347" spans="1:77" x14ac:dyDescent="0.35">
      <c r="A1347" s="7"/>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c r="AO1347" s="7"/>
      <c r="AP1347" s="7"/>
      <c r="AQ1347" s="7"/>
      <c r="AR1347" s="7"/>
      <c r="AS1347" s="7"/>
      <c r="AT1347" s="7"/>
      <c r="AU1347" s="7"/>
      <c r="AV1347" s="7"/>
      <c r="AW1347" s="7"/>
      <c r="AX1347" s="7"/>
      <c r="AY1347" s="7"/>
      <c r="AZ1347" s="7"/>
      <c r="BA1347" s="7"/>
      <c r="BB1347" s="7"/>
      <c r="BC1347" s="7"/>
      <c r="BD1347" s="7"/>
      <c r="BE1347" s="7"/>
      <c r="BF1347" s="7"/>
      <c r="BG1347" s="7"/>
      <c r="BH1347" s="7"/>
      <c r="BI1347" s="7"/>
      <c r="BJ1347" s="7"/>
      <c r="BK1347" s="7"/>
      <c r="BL1347" s="7"/>
      <c r="BM1347" s="7"/>
      <c r="BN1347" s="7"/>
      <c r="BO1347" s="7"/>
      <c r="BP1347" s="7"/>
      <c r="BQ1347" s="7"/>
      <c r="BR1347" s="7"/>
      <c r="BS1347" s="7"/>
      <c r="BT1347" s="7"/>
      <c r="BU1347" s="7"/>
      <c r="BV1347" s="7"/>
      <c r="BW1347" s="7"/>
      <c r="BX1347" s="7"/>
      <c r="BY1347" s="7"/>
    </row>
    <row r="1348" spans="1:77" x14ac:dyDescent="0.35">
      <c r="A1348" s="7"/>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c r="AB1348" s="7"/>
      <c r="AC1348" s="7"/>
      <c r="AD1348" s="7"/>
      <c r="AE1348" s="7"/>
      <c r="AF1348" s="7"/>
      <c r="AG1348" s="7"/>
      <c r="AH1348" s="7"/>
      <c r="AI1348" s="7"/>
      <c r="AJ1348" s="7"/>
      <c r="AK1348" s="7"/>
      <c r="AL1348" s="7"/>
      <c r="AM1348" s="7"/>
      <c r="AN1348" s="7"/>
      <c r="AO1348" s="7"/>
      <c r="AP1348" s="7"/>
      <c r="AQ1348" s="7"/>
      <c r="AR1348" s="7"/>
      <c r="AS1348" s="7"/>
      <c r="AT1348" s="7"/>
      <c r="AU1348" s="7"/>
      <c r="AV1348" s="7"/>
      <c r="AW1348" s="7"/>
      <c r="AX1348" s="7"/>
      <c r="AY1348" s="7"/>
      <c r="AZ1348" s="7"/>
      <c r="BA1348" s="7"/>
      <c r="BB1348" s="7"/>
      <c r="BC1348" s="7"/>
      <c r="BD1348" s="7"/>
      <c r="BE1348" s="7"/>
      <c r="BF1348" s="7"/>
      <c r="BG1348" s="7"/>
      <c r="BH1348" s="7"/>
      <c r="BI1348" s="7"/>
      <c r="BJ1348" s="7"/>
      <c r="BK1348" s="7"/>
      <c r="BL1348" s="7"/>
      <c r="BM1348" s="7"/>
      <c r="BN1348" s="7"/>
      <c r="BO1348" s="7"/>
      <c r="BP1348" s="7"/>
      <c r="BQ1348" s="7"/>
      <c r="BR1348" s="7"/>
      <c r="BS1348" s="7"/>
      <c r="BT1348" s="7"/>
      <c r="BU1348" s="7"/>
      <c r="BV1348" s="7"/>
      <c r="BW1348" s="7"/>
      <c r="BX1348" s="7"/>
      <c r="BY1348" s="7"/>
    </row>
    <row r="1349" spans="1:77" x14ac:dyDescent="0.35">
      <c r="A1349" s="7"/>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c r="AB1349" s="7"/>
      <c r="AC1349" s="7"/>
      <c r="AD1349" s="7"/>
      <c r="AE1349" s="7"/>
      <c r="AF1349" s="7"/>
      <c r="AG1349" s="7"/>
      <c r="AH1349" s="7"/>
      <c r="AI1349" s="7"/>
      <c r="AJ1349" s="7"/>
      <c r="AK1349" s="7"/>
      <c r="AL1349" s="7"/>
      <c r="AM1349" s="7"/>
      <c r="AN1349" s="7"/>
      <c r="AO1349" s="7"/>
      <c r="AP1349" s="7"/>
      <c r="AQ1349" s="7"/>
      <c r="AR1349" s="7"/>
      <c r="AS1349" s="7"/>
      <c r="AT1349" s="7"/>
      <c r="AU1349" s="7"/>
      <c r="AV1349" s="7"/>
      <c r="AW1349" s="7"/>
      <c r="AX1349" s="7"/>
      <c r="AY1349" s="7"/>
      <c r="AZ1349" s="7"/>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c r="BW1349" s="7"/>
      <c r="BX1349" s="7"/>
      <c r="BY1349" s="7"/>
    </row>
    <row r="1350" spans="1:77" x14ac:dyDescent="0.35">
      <c r="A1350" s="7"/>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c r="BE1350" s="7"/>
      <c r="BF1350" s="7"/>
      <c r="BG1350" s="7"/>
      <c r="BH1350" s="7"/>
      <c r="BI1350" s="7"/>
      <c r="BJ1350" s="7"/>
      <c r="BK1350" s="7"/>
      <c r="BL1350" s="7"/>
      <c r="BM1350" s="7"/>
      <c r="BN1350" s="7"/>
      <c r="BO1350" s="7"/>
      <c r="BP1350" s="7"/>
      <c r="BQ1350" s="7"/>
      <c r="BR1350" s="7"/>
      <c r="BS1350" s="7"/>
      <c r="BT1350" s="7"/>
      <c r="BU1350" s="7"/>
      <c r="BV1350" s="7"/>
      <c r="BW1350" s="7"/>
      <c r="BX1350" s="7"/>
      <c r="BY1350" s="7"/>
    </row>
    <row r="1351" spans="1:77" x14ac:dyDescent="0.35">
      <c r="A1351" s="7"/>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c r="AF1351" s="7"/>
      <c r="AG1351" s="7"/>
      <c r="AH1351" s="7"/>
      <c r="AI1351" s="7"/>
      <c r="AJ1351" s="7"/>
      <c r="AK1351" s="7"/>
      <c r="AL1351" s="7"/>
      <c r="AM1351" s="7"/>
      <c r="AN1351" s="7"/>
      <c r="AO1351" s="7"/>
      <c r="AP1351" s="7"/>
      <c r="AQ1351" s="7"/>
      <c r="AR1351" s="7"/>
      <c r="AS1351" s="7"/>
      <c r="AT1351" s="7"/>
      <c r="AU1351" s="7"/>
      <c r="AV1351" s="7"/>
      <c r="AW1351" s="7"/>
      <c r="AX1351" s="7"/>
      <c r="AY1351" s="7"/>
      <c r="AZ1351" s="7"/>
      <c r="BA1351" s="7"/>
      <c r="BB1351" s="7"/>
      <c r="BC1351" s="7"/>
      <c r="BD1351" s="7"/>
      <c r="BE1351" s="7"/>
      <c r="BF1351" s="7"/>
      <c r="BG1351" s="7"/>
      <c r="BH1351" s="7"/>
      <c r="BI1351" s="7"/>
      <c r="BJ1351" s="7"/>
      <c r="BK1351" s="7"/>
      <c r="BL1351" s="7"/>
      <c r="BM1351" s="7"/>
      <c r="BN1351" s="7"/>
      <c r="BO1351" s="7"/>
      <c r="BP1351" s="7"/>
      <c r="BQ1351" s="7"/>
      <c r="BR1351" s="7"/>
      <c r="BS1351" s="7"/>
      <c r="BT1351" s="7"/>
      <c r="BU1351" s="7"/>
      <c r="BV1351" s="7"/>
      <c r="BW1351" s="7"/>
      <c r="BX1351" s="7"/>
      <c r="BY1351" s="7"/>
    </row>
    <row r="1352" spans="1:77" x14ac:dyDescent="0.35">
      <c r="A1352" s="7"/>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c r="AO1352" s="7"/>
      <c r="AP1352" s="7"/>
      <c r="AQ1352" s="7"/>
      <c r="AR1352" s="7"/>
      <c r="AS1352" s="7"/>
      <c r="AT1352" s="7"/>
      <c r="AU1352" s="7"/>
      <c r="AV1352" s="7"/>
      <c r="AW1352" s="7"/>
      <c r="AX1352" s="7"/>
      <c r="AY1352" s="7"/>
      <c r="AZ1352" s="7"/>
      <c r="BA1352" s="7"/>
      <c r="BB1352" s="7"/>
      <c r="BC1352" s="7"/>
      <c r="BD1352" s="7"/>
      <c r="BE1352" s="7"/>
      <c r="BF1352" s="7"/>
      <c r="BG1352" s="7"/>
      <c r="BH1352" s="7"/>
      <c r="BI1352" s="7"/>
      <c r="BJ1352" s="7"/>
      <c r="BK1352" s="7"/>
      <c r="BL1352" s="7"/>
      <c r="BM1352" s="7"/>
      <c r="BN1352" s="7"/>
      <c r="BO1352" s="7"/>
      <c r="BP1352" s="7"/>
      <c r="BQ1352" s="7"/>
      <c r="BR1352" s="7"/>
      <c r="BS1352" s="7"/>
      <c r="BT1352" s="7"/>
      <c r="BU1352" s="7"/>
      <c r="BV1352" s="7"/>
      <c r="BW1352" s="7"/>
      <c r="BX1352" s="7"/>
      <c r="BY1352" s="7"/>
    </row>
    <row r="1353" spans="1:77" x14ac:dyDescent="0.35">
      <c r="A1353" s="7"/>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c r="AO1353" s="7"/>
      <c r="AP1353" s="7"/>
      <c r="AQ1353" s="7"/>
      <c r="AR1353" s="7"/>
      <c r="AS1353" s="7"/>
      <c r="AT1353" s="7"/>
      <c r="AU1353" s="7"/>
      <c r="AV1353" s="7"/>
      <c r="AW1353" s="7"/>
      <c r="AX1353" s="7"/>
      <c r="AY1353" s="7"/>
      <c r="AZ1353" s="7"/>
      <c r="BA1353" s="7"/>
      <c r="BB1353" s="7"/>
      <c r="BC1353" s="7"/>
      <c r="BD1353" s="7"/>
      <c r="BE1353" s="7"/>
      <c r="BF1353" s="7"/>
      <c r="BG1353" s="7"/>
      <c r="BH1353" s="7"/>
      <c r="BI1353" s="7"/>
      <c r="BJ1353" s="7"/>
      <c r="BK1353" s="7"/>
      <c r="BL1353" s="7"/>
      <c r="BM1353" s="7"/>
      <c r="BN1353" s="7"/>
      <c r="BO1353" s="7"/>
      <c r="BP1353" s="7"/>
      <c r="BQ1353" s="7"/>
      <c r="BR1353" s="7"/>
      <c r="BS1353" s="7"/>
      <c r="BT1353" s="7"/>
      <c r="BU1353" s="7"/>
      <c r="BV1353" s="7"/>
      <c r="BW1353" s="7"/>
      <c r="BX1353" s="7"/>
      <c r="BY1353" s="7"/>
    </row>
    <row r="1354" spans="1:77" x14ac:dyDescent="0.35">
      <c r="A1354" s="7"/>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c r="AB1354" s="7"/>
      <c r="AC1354" s="7"/>
      <c r="AD1354" s="7"/>
      <c r="AE1354" s="7"/>
      <c r="AF1354" s="7"/>
      <c r="AG1354" s="7"/>
      <c r="AH1354" s="7"/>
      <c r="AI1354" s="7"/>
      <c r="AJ1354" s="7"/>
      <c r="AK1354" s="7"/>
      <c r="AL1354" s="7"/>
      <c r="AM1354" s="7"/>
      <c r="AN1354" s="7"/>
      <c r="AO1354" s="7"/>
      <c r="AP1354" s="7"/>
      <c r="AQ1354" s="7"/>
      <c r="AR1354" s="7"/>
      <c r="AS1354" s="7"/>
      <c r="AT1354" s="7"/>
      <c r="AU1354" s="7"/>
      <c r="AV1354" s="7"/>
      <c r="AW1354" s="7"/>
      <c r="AX1354" s="7"/>
      <c r="AY1354" s="7"/>
      <c r="AZ1354" s="7"/>
      <c r="BA1354" s="7"/>
      <c r="BB1354" s="7"/>
      <c r="BC1354" s="7"/>
      <c r="BD1354" s="7"/>
      <c r="BE1354" s="7"/>
      <c r="BF1354" s="7"/>
      <c r="BG1354" s="7"/>
      <c r="BH1354" s="7"/>
      <c r="BI1354" s="7"/>
      <c r="BJ1354" s="7"/>
      <c r="BK1354" s="7"/>
      <c r="BL1354" s="7"/>
      <c r="BM1354" s="7"/>
      <c r="BN1354" s="7"/>
      <c r="BO1354" s="7"/>
      <c r="BP1354" s="7"/>
      <c r="BQ1354" s="7"/>
      <c r="BR1354" s="7"/>
      <c r="BS1354" s="7"/>
      <c r="BT1354" s="7"/>
      <c r="BU1354" s="7"/>
      <c r="BV1354" s="7"/>
      <c r="BW1354" s="7"/>
      <c r="BX1354" s="7"/>
      <c r="BY1354" s="7"/>
    </row>
    <row r="1355" spans="1:77" x14ac:dyDescent="0.35">
      <c r="A1355" s="7"/>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c r="AB1355" s="7"/>
      <c r="AC1355" s="7"/>
      <c r="AD1355" s="7"/>
      <c r="AE1355" s="7"/>
      <c r="AF1355" s="7"/>
      <c r="AG1355" s="7"/>
      <c r="AH1355" s="7"/>
      <c r="AI1355" s="7"/>
      <c r="AJ1355" s="7"/>
      <c r="AK1355" s="7"/>
      <c r="AL1355" s="7"/>
      <c r="AM1355" s="7"/>
      <c r="AN1355" s="7"/>
      <c r="AO1355" s="7"/>
      <c r="AP1355" s="7"/>
      <c r="AQ1355" s="7"/>
      <c r="AR1355" s="7"/>
      <c r="AS1355" s="7"/>
      <c r="AT1355" s="7"/>
      <c r="AU1355" s="7"/>
      <c r="AV1355" s="7"/>
      <c r="AW1355" s="7"/>
      <c r="AX1355" s="7"/>
      <c r="AY1355" s="7"/>
      <c r="AZ1355" s="7"/>
      <c r="BA1355" s="7"/>
      <c r="BB1355" s="7"/>
      <c r="BC1355" s="7"/>
      <c r="BD1355" s="7"/>
      <c r="BE1355" s="7"/>
      <c r="BF1355" s="7"/>
      <c r="BG1355" s="7"/>
      <c r="BH1355" s="7"/>
      <c r="BI1355" s="7"/>
      <c r="BJ1355" s="7"/>
      <c r="BK1355" s="7"/>
      <c r="BL1355" s="7"/>
      <c r="BM1355" s="7"/>
      <c r="BN1355" s="7"/>
      <c r="BO1355" s="7"/>
      <c r="BP1355" s="7"/>
      <c r="BQ1355" s="7"/>
      <c r="BR1355" s="7"/>
      <c r="BS1355" s="7"/>
      <c r="BT1355" s="7"/>
      <c r="BU1355" s="7"/>
      <c r="BV1355" s="7"/>
      <c r="BW1355" s="7"/>
      <c r="BX1355" s="7"/>
      <c r="BY1355" s="7"/>
    </row>
    <row r="1356" spans="1:77" x14ac:dyDescent="0.35">
      <c r="A1356" s="7"/>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c r="AS1356" s="7"/>
      <c r="AT1356" s="7"/>
      <c r="AU1356" s="7"/>
      <c r="AV1356" s="7"/>
      <c r="AW1356" s="7"/>
      <c r="AX1356" s="7"/>
      <c r="AY1356" s="7"/>
      <c r="AZ1356" s="7"/>
      <c r="BA1356" s="7"/>
      <c r="BB1356" s="7"/>
      <c r="BC1356" s="7"/>
      <c r="BD1356" s="7"/>
      <c r="BE1356" s="7"/>
      <c r="BF1356" s="7"/>
      <c r="BG1356" s="7"/>
      <c r="BH1356" s="7"/>
      <c r="BI1356" s="7"/>
      <c r="BJ1356" s="7"/>
      <c r="BK1356" s="7"/>
      <c r="BL1356" s="7"/>
      <c r="BM1356" s="7"/>
      <c r="BN1356" s="7"/>
      <c r="BO1356" s="7"/>
      <c r="BP1356" s="7"/>
      <c r="BQ1356" s="7"/>
      <c r="BR1356" s="7"/>
      <c r="BS1356" s="7"/>
      <c r="BT1356" s="7"/>
      <c r="BU1356" s="7"/>
      <c r="BV1356" s="7"/>
      <c r="BW1356" s="7"/>
      <c r="BX1356" s="7"/>
      <c r="BY1356" s="7"/>
    </row>
    <row r="1357" spans="1:77" x14ac:dyDescent="0.35">
      <c r="A1357" s="7"/>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c r="AS1357" s="7"/>
      <c r="AT1357" s="7"/>
      <c r="AU1357" s="7"/>
      <c r="AV1357" s="7"/>
      <c r="AW1357" s="7"/>
      <c r="AX1357" s="7"/>
      <c r="AY1357" s="7"/>
      <c r="AZ1357" s="7"/>
      <c r="BA1357" s="7"/>
      <c r="BB1357" s="7"/>
      <c r="BC1357" s="7"/>
      <c r="BD1357" s="7"/>
      <c r="BE1357" s="7"/>
      <c r="BF1357" s="7"/>
      <c r="BG1357" s="7"/>
      <c r="BH1357" s="7"/>
      <c r="BI1357" s="7"/>
      <c r="BJ1357" s="7"/>
      <c r="BK1357" s="7"/>
      <c r="BL1357" s="7"/>
      <c r="BM1357" s="7"/>
      <c r="BN1357" s="7"/>
      <c r="BO1357" s="7"/>
      <c r="BP1357" s="7"/>
      <c r="BQ1357" s="7"/>
      <c r="BR1357" s="7"/>
      <c r="BS1357" s="7"/>
      <c r="BT1357" s="7"/>
      <c r="BU1357" s="7"/>
      <c r="BV1357" s="7"/>
      <c r="BW1357" s="7"/>
      <c r="BX1357" s="7"/>
      <c r="BY1357" s="7"/>
    </row>
    <row r="1358" spans="1:77" x14ac:dyDescent="0.35">
      <c r="A1358" s="7"/>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c r="AG1358" s="7"/>
      <c r="AH1358" s="7"/>
      <c r="AI1358" s="7"/>
      <c r="AJ1358" s="7"/>
      <c r="AK1358" s="7"/>
      <c r="AL1358" s="7"/>
      <c r="AM1358" s="7"/>
      <c r="AN1358" s="7"/>
      <c r="AO1358" s="7"/>
      <c r="AP1358" s="7"/>
      <c r="AQ1358" s="7"/>
      <c r="AR1358" s="7"/>
      <c r="AS1358" s="7"/>
      <c r="AT1358" s="7"/>
      <c r="AU1358" s="7"/>
      <c r="AV1358" s="7"/>
      <c r="AW1358" s="7"/>
      <c r="AX1358" s="7"/>
      <c r="AY1358" s="7"/>
      <c r="AZ1358" s="7"/>
      <c r="BA1358" s="7"/>
      <c r="BB1358" s="7"/>
      <c r="BC1358" s="7"/>
      <c r="BD1358" s="7"/>
      <c r="BE1358" s="7"/>
      <c r="BF1358" s="7"/>
      <c r="BG1358" s="7"/>
      <c r="BH1358" s="7"/>
      <c r="BI1358" s="7"/>
      <c r="BJ1358" s="7"/>
      <c r="BK1358" s="7"/>
      <c r="BL1358" s="7"/>
      <c r="BM1358" s="7"/>
      <c r="BN1358" s="7"/>
      <c r="BO1358" s="7"/>
      <c r="BP1358" s="7"/>
      <c r="BQ1358" s="7"/>
      <c r="BR1358" s="7"/>
      <c r="BS1358" s="7"/>
      <c r="BT1358" s="7"/>
      <c r="BU1358" s="7"/>
      <c r="BV1358" s="7"/>
      <c r="BW1358" s="7"/>
      <c r="BX1358" s="7"/>
      <c r="BY1358" s="7"/>
    </row>
    <row r="1359" spans="1:77" x14ac:dyDescent="0.35">
      <c r="A1359" s="7"/>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7"/>
      <c r="AG1359" s="7"/>
      <c r="AH1359" s="7"/>
      <c r="AI1359" s="7"/>
      <c r="AJ1359" s="7"/>
      <c r="AK1359" s="7"/>
      <c r="AL1359" s="7"/>
      <c r="AM1359" s="7"/>
      <c r="AN1359" s="7"/>
      <c r="AO1359" s="7"/>
      <c r="AP1359" s="7"/>
      <c r="AQ1359" s="7"/>
      <c r="AR1359" s="7"/>
      <c r="AS1359" s="7"/>
      <c r="AT1359" s="7"/>
      <c r="AU1359" s="7"/>
      <c r="AV1359" s="7"/>
      <c r="AW1359" s="7"/>
      <c r="AX1359" s="7"/>
      <c r="AY1359" s="7"/>
      <c r="AZ1359" s="7"/>
      <c r="BA1359" s="7"/>
      <c r="BB1359" s="7"/>
      <c r="BC1359" s="7"/>
      <c r="BD1359" s="7"/>
      <c r="BE1359" s="7"/>
      <c r="BF1359" s="7"/>
      <c r="BG1359" s="7"/>
      <c r="BH1359" s="7"/>
      <c r="BI1359" s="7"/>
      <c r="BJ1359" s="7"/>
      <c r="BK1359" s="7"/>
      <c r="BL1359" s="7"/>
      <c r="BM1359" s="7"/>
      <c r="BN1359" s="7"/>
      <c r="BO1359" s="7"/>
      <c r="BP1359" s="7"/>
      <c r="BQ1359" s="7"/>
      <c r="BR1359" s="7"/>
      <c r="BS1359" s="7"/>
      <c r="BT1359" s="7"/>
      <c r="BU1359" s="7"/>
      <c r="BV1359" s="7"/>
      <c r="BW1359" s="7"/>
      <c r="BX1359" s="7"/>
      <c r="BY1359" s="7"/>
    </row>
    <row r="1360" spans="1:77" x14ac:dyDescent="0.35">
      <c r="A1360" s="7"/>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c r="AB1360" s="7"/>
      <c r="AC1360" s="7"/>
      <c r="AD1360" s="7"/>
      <c r="AE1360" s="7"/>
      <c r="AF1360" s="7"/>
      <c r="AG1360" s="7"/>
      <c r="AH1360" s="7"/>
      <c r="AI1360" s="7"/>
      <c r="AJ1360" s="7"/>
      <c r="AK1360" s="7"/>
      <c r="AL1360" s="7"/>
      <c r="AM1360" s="7"/>
      <c r="AN1360" s="7"/>
      <c r="AO1360" s="7"/>
      <c r="AP1360" s="7"/>
      <c r="AQ1360" s="7"/>
      <c r="AR1360" s="7"/>
      <c r="AS1360" s="7"/>
      <c r="AT1360" s="7"/>
      <c r="AU1360" s="7"/>
      <c r="AV1360" s="7"/>
      <c r="AW1360" s="7"/>
      <c r="AX1360" s="7"/>
      <c r="AY1360" s="7"/>
      <c r="AZ1360" s="7"/>
      <c r="BA1360" s="7"/>
      <c r="BB1360" s="7"/>
      <c r="BC1360" s="7"/>
      <c r="BD1360" s="7"/>
      <c r="BE1360" s="7"/>
      <c r="BF1360" s="7"/>
      <c r="BG1360" s="7"/>
      <c r="BH1360" s="7"/>
      <c r="BI1360" s="7"/>
      <c r="BJ1360" s="7"/>
      <c r="BK1360" s="7"/>
      <c r="BL1360" s="7"/>
      <c r="BM1360" s="7"/>
      <c r="BN1360" s="7"/>
      <c r="BO1360" s="7"/>
      <c r="BP1360" s="7"/>
      <c r="BQ1360" s="7"/>
      <c r="BR1360" s="7"/>
      <c r="BS1360" s="7"/>
      <c r="BT1360" s="7"/>
      <c r="BU1360" s="7"/>
      <c r="BV1360" s="7"/>
      <c r="BW1360" s="7"/>
      <c r="BX1360" s="7"/>
      <c r="BY1360" s="7"/>
    </row>
    <row r="1361" spans="1:77" x14ac:dyDescent="0.35">
      <c r="A1361" s="7"/>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c r="AB1361" s="7"/>
      <c r="AC1361" s="7"/>
      <c r="AD1361" s="7"/>
      <c r="AE1361" s="7"/>
      <c r="AF1361" s="7"/>
      <c r="AG1361" s="7"/>
      <c r="AH1361" s="7"/>
      <c r="AI1361" s="7"/>
      <c r="AJ1361" s="7"/>
      <c r="AK1361" s="7"/>
      <c r="AL1361" s="7"/>
      <c r="AM1361" s="7"/>
      <c r="AN1361" s="7"/>
      <c r="AO1361" s="7"/>
      <c r="AP1361" s="7"/>
      <c r="AQ1361" s="7"/>
      <c r="AR1361" s="7"/>
      <c r="AS1361" s="7"/>
      <c r="AT1361" s="7"/>
      <c r="AU1361" s="7"/>
      <c r="AV1361" s="7"/>
      <c r="AW1361" s="7"/>
      <c r="AX1361" s="7"/>
      <c r="AY1361" s="7"/>
      <c r="AZ1361" s="7"/>
      <c r="BA1361" s="7"/>
      <c r="BB1361" s="7"/>
      <c r="BC1361" s="7"/>
      <c r="BD1361" s="7"/>
      <c r="BE1361" s="7"/>
      <c r="BF1361" s="7"/>
      <c r="BG1361" s="7"/>
      <c r="BH1361" s="7"/>
      <c r="BI1361" s="7"/>
      <c r="BJ1361" s="7"/>
      <c r="BK1361" s="7"/>
      <c r="BL1361" s="7"/>
      <c r="BM1361" s="7"/>
      <c r="BN1361" s="7"/>
      <c r="BO1361" s="7"/>
      <c r="BP1361" s="7"/>
      <c r="BQ1361" s="7"/>
      <c r="BR1361" s="7"/>
      <c r="BS1361" s="7"/>
      <c r="BT1361" s="7"/>
      <c r="BU1361" s="7"/>
      <c r="BV1361" s="7"/>
      <c r="BW1361" s="7"/>
      <c r="BX1361" s="7"/>
      <c r="BY1361" s="7"/>
    </row>
    <row r="1362" spans="1:77" x14ac:dyDescent="0.35">
      <c r="A1362" s="7"/>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7"/>
      <c r="AG1362" s="7"/>
      <c r="AH1362" s="7"/>
      <c r="AI1362" s="7"/>
      <c r="AJ1362" s="7"/>
      <c r="AK1362" s="7"/>
      <c r="AL1362" s="7"/>
      <c r="AM1362" s="7"/>
      <c r="AN1362" s="7"/>
      <c r="AO1362" s="7"/>
      <c r="AP1362" s="7"/>
      <c r="AQ1362" s="7"/>
      <c r="AR1362" s="7"/>
      <c r="AS1362" s="7"/>
      <c r="AT1362" s="7"/>
      <c r="AU1362" s="7"/>
      <c r="AV1362" s="7"/>
      <c r="AW1362" s="7"/>
      <c r="AX1362" s="7"/>
      <c r="AY1362" s="7"/>
      <c r="AZ1362" s="7"/>
      <c r="BA1362" s="7"/>
      <c r="BB1362" s="7"/>
      <c r="BC1362" s="7"/>
      <c r="BD1362" s="7"/>
      <c r="BE1362" s="7"/>
      <c r="BF1362" s="7"/>
      <c r="BG1362" s="7"/>
      <c r="BH1362" s="7"/>
      <c r="BI1362" s="7"/>
      <c r="BJ1362" s="7"/>
      <c r="BK1362" s="7"/>
      <c r="BL1362" s="7"/>
      <c r="BM1362" s="7"/>
      <c r="BN1362" s="7"/>
      <c r="BO1362" s="7"/>
      <c r="BP1362" s="7"/>
      <c r="BQ1362" s="7"/>
      <c r="BR1362" s="7"/>
      <c r="BS1362" s="7"/>
      <c r="BT1362" s="7"/>
      <c r="BU1362" s="7"/>
      <c r="BV1362" s="7"/>
      <c r="BW1362" s="7"/>
      <c r="BX1362" s="7"/>
      <c r="BY1362" s="7"/>
    </row>
    <row r="1363" spans="1:77" x14ac:dyDescent="0.35">
      <c r="A1363" s="7"/>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c r="AF1363" s="7"/>
      <c r="AG1363" s="7"/>
      <c r="AH1363" s="7"/>
      <c r="AI1363" s="7"/>
      <c r="AJ1363" s="7"/>
      <c r="AK1363" s="7"/>
      <c r="AL1363" s="7"/>
      <c r="AM1363" s="7"/>
      <c r="AN1363" s="7"/>
      <c r="AO1363" s="7"/>
      <c r="AP1363" s="7"/>
      <c r="AQ1363" s="7"/>
      <c r="AR1363" s="7"/>
      <c r="AS1363" s="7"/>
      <c r="AT1363" s="7"/>
      <c r="AU1363" s="7"/>
      <c r="AV1363" s="7"/>
      <c r="AW1363" s="7"/>
      <c r="AX1363" s="7"/>
      <c r="AY1363" s="7"/>
      <c r="AZ1363" s="7"/>
      <c r="BA1363" s="7"/>
      <c r="BB1363" s="7"/>
      <c r="BC1363" s="7"/>
      <c r="BD1363" s="7"/>
      <c r="BE1363" s="7"/>
      <c r="BF1363" s="7"/>
      <c r="BG1363" s="7"/>
      <c r="BH1363" s="7"/>
      <c r="BI1363" s="7"/>
      <c r="BJ1363" s="7"/>
      <c r="BK1363" s="7"/>
      <c r="BL1363" s="7"/>
      <c r="BM1363" s="7"/>
      <c r="BN1363" s="7"/>
      <c r="BO1363" s="7"/>
      <c r="BP1363" s="7"/>
      <c r="BQ1363" s="7"/>
      <c r="BR1363" s="7"/>
      <c r="BS1363" s="7"/>
      <c r="BT1363" s="7"/>
      <c r="BU1363" s="7"/>
      <c r="BV1363" s="7"/>
      <c r="BW1363" s="7"/>
      <c r="BX1363" s="7"/>
      <c r="BY1363" s="7"/>
    </row>
    <row r="1364" spans="1:77" x14ac:dyDescent="0.35">
      <c r="A1364" s="7"/>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c r="AF1364" s="7"/>
      <c r="AG1364" s="7"/>
      <c r="AH1364" s="7"/>
      <c r="AI1364" s="7"/>
      <c r="AJ1364" s="7"/>
      <c r="AK1364" s="7"/>
      <c r="AL1364" s="7"/>
      <c r="AM1364" s="7"/>
      <c r="AN1364" s="7"/>
      <c r="AO1364" s="7"/>
      <c r="AP1364" s="7"/>
      <c r="AQ1364" s="7"/>
      <c r="AR1364" s="7"/>
      <c r="AS1364" s="7"/>
      <c r="AT1364" s="7"/>
      <c r="AU1364" s="7"/>
      <c r="AV1364" s="7"/>
      <c r="AW1364" s="7"/>
      <c r="AX1364" s="7"/>
      <c r="AY1364" s="7"/>
      <c r="AZ1364" s="7"/>
      <c r="BA1364" s="7"/>
      <c r="BB1364" s="7"/>
      <c r="BC1364" s="7"/>
      <c r="BD1364" s="7"/>
      <c r="BE1364" s="7"/>
      <c r="BF1364" s="7"/>
      <c r="BG1364" s="7"/>
      <c r="BH1364" s="7"/>
      <c r="BI1364" s="7"/>
      <c r="BJ1364" s="7"/>
      <c r="BK1364" s="7"/>
      <c r="BL1364" s="7"/>
      <c r="BM1364" s="7"/>
      <c r="BN1364" s="7"/>
      <c r="BO1364" s="7"/>
      <c r="BP1364" s="7"/>
      <c r="BQ1364" s="7"/>
      <c r="BR1364" s="7"/>
      <c r="BS1364" s="7"/>
      <c r="BT1364" s="7"/>
      <c r="BU1364" s="7"/>
      <c r="BV1364" s="7"/>
      <c r="BW1364" s="7"/>
      <c r="BX1364" s="7"/>
      <c r="BY1364" s="7"/>
    </row>
    <row r="1365" spans="1:77" x14ac:dyDescent="0.35">
      <c r="A1365" s="7"/>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c r="AF1365" s="7"/>
      <c r="AG1365" s="7"/>
      <c r="AH1365" s="7"/>
      <c r="AI1365" s="7"/>
      <c r="AJ1365" s="7"/>
      <c r="AK1365" s="7"/>
      <c r="AL1365" s="7"/>
      <c r="AM1365" s="7"/>
      <c r="AN1365" s="7"/>
      <c r="AO1365" s="7"/>
      <c r="AP1365" s="7"/>
      <c r="AQ1365" s="7"/>
      <c r="AR1365" s="7"/>
      <c r="AS1365" s="7"/>
      <c r="AT1365" s="7"/>
      <c r="AU1365" s="7"/>
      <c r="AV1365" s="7"/>
      <c r="AW1365" s="7"/>
      <c r="AX1365" s="7"/>
      <c r="AY1365" s="7"/>
      <c r="AZ1365" s="7"/>
      <c r="BA1365" s="7"/>
      <c r="BB1365" s="7"/>
      <c r="BC1365" s="7"/>
      <c r="BD1365" s="7"/>
      <c r="BE1365" s="7"/>
      <c r="BF1365" s="7"/>
      <c r="BG1365" s="7"/>
      <c r="BH1365" s="7"/>
      <c r="BI1365" s="7"/>
      <c r="BJ1365" s="7"/>
      <c r="BK1365" s="7"/>
      <c r="BL1365" s="7"/>
      <c r="BM1365" s="7"/>
      <c r="BN1365" s="7"/>
      <c r="BO1365" s="7"/>
      <c r="BP1365" s="7"/>
      <c r="BQ1365" s="7"/>
      <c r="BR1365" s="7"/>
      <c r="BS1365" s="7"/>
      <c r="BT1365" s="7"/>
      <c r="BU1365" s="7"/>
      <c r="BV1365" s="7"/>
      <c r="BW1365" s="7"/>
      <c r="BX1365" s="7"/>
      <c r="BY1365" s="7"/>
    </row>
    <row r="1366" spans="1:77" x14ac:dyDescent="0.35">
      <c r="A1366" s="7"/>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c r="AB1366" s="7"/>
      <c r="AC1366" s="7"/>
      <c r="AD1366" s="7"/>
      <c r="AE1366" s="7"/>
      <c r="AF1366" s="7"/>
      <c r="AG1366" s="7"/>
      <c r="AH1366" s="7"/>
      <c r="AI1366" s="7"/>
      <c r="AJ1366" s="7"/>
      <c r="AK1366" s="7"/>
      <c r="AL1366" s="7"/>
      <c r="AM1366" s="7"/>
      <c r="AN1366" s="7"/>
      <c r="AO1366" s="7"/>
      <c r="AP1366" s="7"/>
      <c r="AQ1366" s="7"/>
      <c r="AR1366" s="7"/>
      <c r="AS1366" s="7"/>
      <c r="AT1366" s="7"/>
      <c r="AU1366" s="7"/>
      <c r="AV1366" s="7"/>
      <c r="AW1366" s="7"/>
      <c r="AX1366" s="7"/>
      <c r="AY1366" s="7"/>
      <c r="AZ1366" s="7"/>
      <c r="BA1366" s="7"/>
      <c r="BB1366" s="7"/>
      <c r="BC1366" s="7"/>
      <c r="BD1366" s="7"/>
      <c r="BE1366" s="7"/>
      <c r="BF1366" s="7"/>
      <c r="BG1366" s="7"/>
      <c r="BH1366" s="7"/>
      <c r="BI1366" s="7"/>
      <c r="BJ1366" s="7"/>
      <c r="BK1366" s="7"/>
      <c r="BL1366" s="7"/>
      <c r="BM1366" s="7"/>
      <c r="BN1366" s="7"/>
      <c r="BO1366" s="7"/>
      <c r="BP1366" s="7"/>
      <c r="BQ1366" s="7"/>
      <c r="BR1366" s="7"/>
      <c r="BS1366" s="7"/>
      <c r="BT1366" s="7"/>
      <c r="BU1366" s="7"/>
      <c r="BV1366" s="7"/>
      <c r="BW1366" s="7"/>
      <c r="BX1366" s="7"/>
      <c r="BY1366" s="7"/>
    </row>
    <row r="1367" spans="1:77" x14ac:dyDescent="0.35">
      <c r="A1367" s="7"/>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c r="AB1367" s="7"/>
      <c r="AC1367" s="7"/>
      <c r="AD1367" s="7"/>
      <c r="AE1367" s="7"/>
      <c r="AF1367" s="7"/>
      <c r="AG1367" s="7"/>
      <c r="AH1367" s="7"/>
      <c r="AI1367" s="7"/>
      <c r="AJ1367" s="7"/>
      <c r="AK1367" s="7"/>
      <c r="AL1367" s="7"/>
      <c r="AM1367" s="7"/>
      <c r="AN1367" s="7"/>
      <c r="AO1367" s="7"/>
      <c r="AP1367" s="7"/>
      <c r="AQ1367" s="7"/>
      <c r="AR1367" s="7"/>
      <c r="AS1367" s="7"/>
      <c r="AT1367" s="7"/>
      <c r="AU1367" s="7"/>
      <c r="AV1367" s="7"/>
      <c r="AW1367" s="7"/>
      <c r="AX1367" s="7"/>
      <c r="AY1367" s="7"/>
      <c r="AZ1367" s="7"/>
      <c r="BA1367" s="7"/>
      <c r="BB1367" s="7"/>
      <c r="BC1367" s="7"/>
      <c r="BD1367" s="7"/>
      <c r="BE1367" s="7"/>
      <c r="BF1367" s="7"/>
      <c r="BG1367" s="7"/>
      <c r="BH1367" s="7"/>
      <c r="BI1367" s="7"/>
      <c r="BJ1367" s="7"/>
      <c r="BK1367" s="7"/>
      <c r="BL1367" s="7"/>
      <c r="BM1367" s="7"/>
      <c r="BN1367" s="7"/>
      <c r="BO1367" s="7"/>
      <c r="BP1367" s="7"/>
      <c r="BQ1367" s="7"/>
      <c r="BR1367" s="7"/>
      <c r="BS1367" s="7"/>
      <c r="BT1367" s="7"/>
      <c r="BU1367" s="7"/>
      <c r="BV1367" s="7"/>
      <c r="BW1367" s="7"/>
      <c r="BX1367" s="7"/>
      <c r="BY1367" s="7"/>
    </row>
    <row r="1368" spans="1:77" x14ac:dyDescent="0.35">
      <c r="A1368" s="7"/>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c r="AO1368" s="7"/>
      <c r="AP1368" s="7"/>
      <c r="AQ1368" s="7"/>
      <c r="AR1368" s="7"/>
      <c r="AS1368" s="7"/>
      <c r="AT1368" s="7"/>
      <c r="AU1368" s="7"/>
      <c r="AV1368" s="7"/>
      <c r="AW1368" s="7"/>
      <c r="AX1368" s="7"/>
      <c r="AY1368" s="7"/>
      <c r="AZ1368" s="7"/>
      <c r="BA1368" s="7"/>
      <c r="BB1368" s="7"/>
      <c r="BC1368" s="7"/>
      <c r="BD1368" s="7"/>
      <c r="BE1368" s="7"/>
      <c r="BF1368" s="7"/>
      <c r="BG1368" s="7"/>
      <c r="BH1368" s="7"/>
      <c r="BI1368" s="7"/>
      <c r="BJ1368" s="7"/>
      <c r="BK1368" s="7"/>
      <c r="BL1368" s="7"/>
      <c r="BM1368" s="7"/>
      <c r="BN1368" s="7"/>
      <c r="BO1368" s="7"/>
      <c r="BP1368" s="7"/>
      <c r="BQ1368" s="7"/>
      <c r="BR1368" s="7"/>
      <c r="BS1368" s="7"/>
      <c r="BT1368" s="7"/>
      <c r="BU1368" s="7"/>
      <c r="BV1368" s="7"/>
      <c r="BW1368" s="7"/>
      <c r="BX1368" s="7"/>
      <c r="BY1368" s="7"/>
    </row>
    <row r="1369" spans="1:77" x14ac:dyDescent="0.35">
      <c r="A1369" s="7"/>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c r="BW1369" s="7"/>
      <c r="BX1369" s="7"/>
      <c r="BY1369" s="7"/>
    </row>
    <row r="1370" spans="1:77" x14ac:dyDescent="0.35">
      <c r="A1370" s="7"/>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c r="AO1370" s="7"/>
      <c r="AP1370" s="7"/>
      <c r="AQ1370" s="7"/>
      <c r="AR1370" s="7"/>
      <c r="AS1370" s="7"/>
      <c r="AT1370" s="7"/>
      <c r="AU1370" s="7"/>
      <c r="AV1370" s="7"/>
      <c r="AW1370" s="7"/>
      <c r="AX1370" s="7"/>
      <c r="AY1370" s="7"/>
      <c r="AZ1370" s="7"/>
      <c r="BA1370" s="7"/>
      <c r="BB1370" s="7"/>
      <c r="BC1370" s="7"/>
      <c r="BD1370" s="7"/>
      <c r="BE1370" s="7"/>
      <c r="BF1370" s="7"/>
      <c r="BG1370" s="7"/>
      <c r="BH1370" s="7"/>
      <c r="BI1370" s="7"/>
      <c r="BJ1370" s="7"/>
      <c r="BK1370" s="7"/>
      <c r="BL1370" s="7"/>
      <c r="BM1370" s="7"/>
      <c r="BN1370" s="7"/>
      <c r="BO1370" s="7"/>
      <c r="BP1370" s="7"/>
      <c r="BQ1370" s="7"/>
      <c r="BR1370" s="7"/>
      <c r="BS1370" s="7"/>
      <c r="BT1370" s="7"/>
      <c r="BU1370" s="7"/>
      <c r="BV1370" s="7"/>
      <c r="BW1370" s="7"/>
      <c r="BX1370" s="7"/>
      <c r="BY1370" s="7"/>
    </row>
    <row r="1371" spans="1:77" x14ac:dyDescent="0.35">
      <c r="A1371" s="7"/>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c r="AO1371" s="7"/>
      <c r="AP1371" s="7"/>
      <c r="AQ1371" s="7"/>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c r="BW1371" s="7"/>
      <c r="BX1371" s="7"/>
      <c r="BY1371" s="7"/>
    </row>
    <row r="1372" spans="1:77" x14ac:dyDescent="0.35">
      <c r="A1372" s="7"/>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c r="AB1372" s="7"/>
      <c r="AC1372" s="7"/>
      <c r="AD1372" s="7"/>
      <c r="AE1372" s="7"/>
      <c r="AF1372" s="7"/>
      <c r="AG1372" s="7"/>
      <c r="AH1372" s="7"/>
      <c r="AI1372" s="7"/>
      <c r="AJ1372" s="7"/>
      <c r="AK1372" s="7"/>
      <c r="AL1372" s="7"/>
      <c r="AM1372" s="7"/>
      <c r="AN1372" s="7"/>
      <c r="AO1372" s="7"/>
      <c r="AP1372" s="7"/>
      <c r="AQ1372" s="7"/>
      <c r="AR1372" s="7"/>
      <c r="AS1372" s="7"/>
      <c r="AT1372" s="7"/>
      <c r="AU1372" s="7"/>
      <c r="AV1372" s="7"/>
      <c r="AW1372" s="7"/>
      <c r="AX1372" s="7"/>
      <c r="AY1372" s="7"/>
      <c r="AZ1372" s="7"/>
      <c r="BA1372" s="7"/>
      <c r="BB1372" s="7"/>
      <c r="BC1372" s="7"/>
      <c r="BD1372" s="7"/>
      <c r="BE1372" s="7"/>
      <c r="BF1372" s="7"/>
      <c r="BG1372" s="7"/>
      <c r="BH1372" s="7"/>
      <c r="BI1372" s="7"/>
      <c r="BJ1372" s="7"/>
      <c r="BK1372" s="7"/>
      <c r="BL1372" s="7"/>
      <c r="BM1372" s="7"/>
      <c r="BN1372" s="7"/>
      <c r="BO1372" s="7"/>
      <c r="BP1372" s="7"/>
      <c r="BQ1372" s="7"/>
      <c r="BR1372" s="7"/>
      <c r="BS1372" s="7"/>
      <c r="BT1372" s="7"/>
      <c r="BU1372" s="7"/>
      <c r="BV1372" s="7"/>
      <c r="BW1372" s="7"/>
      <c r="BX1372" s="7"/>
      <c r="BY1372" s="7"/>
    </row>
    <row r="1373" spans="1:77" x14ac:dyDescent="0.35">
      <c r="A1373" s="7"/>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c r="AK1373" s="7"/>
      <c r="AL1373" s="7"/>
      <c r="AM1373" s="7"/>
      <c r="AN1373" s="7"/>
      <c r="AO1373" s="7"/>
      <c r="AP1373" s="7"/>
      <c r="AQ1373" s="7"/>
      <c r="AR1373" s="7"/>
      <c r="AS1373" s="7"/>
      <c r="AT1373" s="7"/>
      <c r="AU1373" s="7"/>
      <c r="AV1373" s="7"/>
      <c r="AW1373" s="7"/>
      <c r="AX1373" s="7"/>
      <c r="AY1373" s="7"/>
      <c r="AZ1373" s="7"/>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c r="BW1373" s="7"/>
      <c r="BX1373" s="7"/>
      <c r="BY1373" s="7"/>
    </row>
    <row r="1374" spans="1:77" x14ac:dyDescent="0.35">
      <c r="A1374" s="7"/>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c r="AF1374" s="7"/>
      <c r="AG1374" s="7"/>
      <c r="AH1374" s="7"/>
      <c r="AI1374" s="7"/>
      <c r="AJ1374" s="7"/>
      <c r="AK1374" s="7"/>
      <c r="AL1374" s="7"/>
      <c r="AM1374" s="7"/>
      <c r="AN1374" s="7"/>
      <c r="AO1374" s="7"/>
      <c r="AP1374" s="7"/>
      <c r="AQ1374" s="7"/>
      <c r="AR1374" s="7"/>
      <c r="AS1374" s="7"/>
      <c r="AT1374" s="7"/>
      <c r="AU1374" s="7"/>
      <c r="AV1374" s="7"/>
      <c r="AW1374" s="7"/>
      <c r="AX1374" s="7"/>
      <c r="AY1374" s="7"/>
      <c r="AZ1374" s="7"/>
      <c r="BA1374" s="7"/>
      <c r="BB1374" s="7"/>
      <c r="BC1374" s="7"/>
      <c r="BD1374" s="7"/>
      <c r="BE1374" s="7"/>
      <c r="BF1374" s="7"/>
      <c r="BG1374" s="7"/>
      <c r="BH1374" s="7"/>
      <c r="BI1374" s="7"/>
      <c r="BJ1374" s="7"/>
      <c r="BK1374" s="7"/>
      <c r="BL1374" s="7"/>
      <c r="BM1374" s="7"/>
      <c r="BN1374" s="7"/>
      <c r="BO1374" s="7"/>
      <c r="BP1374" s="7"/>
      <c r="BQ1374" s="7"/>
      <c r="BR1374" s="7"/>
      <c r="BS1374" s="7"/>
      <c r="BT1374" s="7"/>
      <c r="BU1374" s="7"/>
      <c r="BV1374" s="7"/>
      <c r="BW1374" s="7"/>
      <c r="BX1374" s="7"/>
      <c r="BY1374" s="7"/>
    </row>
    <row r="1375" spans="1:77" x14ac:dyDescent="0.35">
      <c r="A1375" s="7"/>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c r="AF1375" s="7"/>
      <c r="AG1375" s="7"/>
      <c r="AH1375" s="7"/>
      <c r="AI1375" s="7"/>
      <c r="AJ1375" s="7"/>
      <c r="AK1375" s="7"/>
      <c r="AL1375" s="7"/>
      <c r="AM1375" s="7"/>
      <c r="AN1375" s="7"/>
      <c r="AO1375" s="7"/>
      <c r="AP1375" s="7"/>
      <c r="AQ1375" s="7"/>
      <c r="AR1375" s="7"/>
      <c r="AS1375" s="7"/>
      <c r="AT1375" s="7"/>
      <c r="AU1375" s="7"/>
      <c r="AV1375" s="7"/>
      <c r="AW1375" s="7"/>
      <c r="AX1375" s="7"/>
      <c r="AY1375" s="7"/>
      <c r="AZ1375" s="7"/>
      <c r="BA1375" s="7"/>
      <c r="BB1375" s="7"/>
      <c r="BC1375" s="7"/>
      <c r="BD1375" s="7"/>
      <c r="BE1375" s="7"/>
      <c r="BF1375" s="7"/>
      <c r="BG1375" s="7"/>
      <c r="BH1375" s="7"/>
      <c r="BI1375" s="7"/>
      <c r="BJ1375" s="7"/>
      <c r="BK1375" s="7"/>
      <c r="BL1375" s="7"/>
      <c r="BM1375" s="7"/>
      <c r="BN1375" s="7"/>
      <c r="BO1375" s="7"/>
      <c r="BP1375" s="7"/>
      <c r="BQ1375" s="7"/>
      <c r="BR1375" s="7"/>
      <c r="BS1375" s="7"/>
      <c r="BT1375" s="7"/>
      <c r="BU1375" s="7"/>
      <c r="BV1375" s="7"/>
      <c r="BW1375" s="7"/>
      <c r="BX1375" s="7"/>
      <c r="BY1375" s="7"/>
    </row>
    <row r="1376" spans="1:77" x14ac:dyDescent="0.35">
      <c r="A1376" s="7"/>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c r="AO1376" s="7"/>
      <c r="AP1376" s="7"/>
      <c r="AQ1376" s="7"/>
      <c r="AR1376" s="7"/>
      <c r="AS1376" s="7"/>
      <c r="AT1376" s="7"/>
      <c r="AU1376" s="7"/>
      <c r="AV1376" s="7"/>
      <c r="AW1376" s="7"/>
      <c r="AX1376" s="7"/>
      <c r="AY1376" s="7"/>
      <c r="AZ1376" s="7"/>
      <c r="BA1376" s="7"/>
      <c r="BB1376" s="7"/>
      <c r="BC1376" s="7"/>
      <c r="BD1376" s="7"/>
      <c r="BE1376" s="7"/>
      <c r="BF1376" s="7"/>
      <c r="BG1376" s="7"/>
      <c r="BH1376" s="7"/>
      <c r="BI1376" s="7"/>
      <c r="BJ1376" s="7"/>
      <c r="BK1376" s="7"/>
      <c r="BL1376" s="7"/>
      <c r="BM1376" s="7"/>
      <c r="BN1376" s="7"/>
      <c r="BO1376" s="7"/>
      <c r="BP1376" s="7"/>
      <c r="BQ1376" s="7"/>
      <c r="BR1376" s="7"/>
      <c r="BS1376" s="7"/>
      <c r="BT1376" s="7"/>
      <c r="BU1376" s="7"/>
      <c r="BV1376" s="7"/>
      <c r="BW1376" s="7"/>
      <c r="BX1376" s="7"/>
      <c r="BY1376" s="7"/>
    </row>
    <row r="1377" spans="1:77" x14ac:dyDescent="0.35">
      <c r="A1377" s="7"/>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c r="AO1377" s="7"/>
      <c r="AP1377" s="7"/>
      <c r="AQ1377" s="7"/>
      <c r="AR1377" s="7"/>
      <c r="AS1377" s="7"/>
      <c r="AT1377" s="7"/>
      <c r="AU1377" s="7"/>
      <c r="AV1377" s="7"/>
      <c r="AW1377" s="7"/>
      <c r="AX1377" s="7"/>
      <c r="AY1377" s="7"/>
      <c r="AZ1377" s="7"/>
      <c r="BA1377" s="7"/>
      <c r="BB1377" s="7"/>
      <c r="BC1377" s="7"/>
      <c r="BD1377" s="7"/>
      <c r="BE1377" s="7"/>
      <c r="BF1377" s="7"/>
      <c r="BG1377" s="7"/>
      <c r="BH1377" s="7"/>
      <c r="BI1377" s="7"/>
      <c r="BJ1377" s="7"/>
      <c r="BK1377" s="7"/>
      <c r="BL1377" s="7"/>
      <c r="BM1377" s="7"/>
      <c r="BN1377" s="7"/>
      <c r="BO1377" s="7"/>
      <c r="BP1377" s="7"/>
      <c r="BQ1377" s="7"/>
      <c r="BR1377" s="7"/>
      <c r="BS1377" s="7"/>
      <c r="BT1377" s="7"/>
      <c r="BU1377" s="7"/>
      <c r="BV1377" s="7"/>
      <c r="BW1377" s="7"/>
      <c r="BX1377" s="7"/>
      <c r="BY1377" s="7"/>
    </row>
    <row r="1378" spans="1:77" x14ac:dyDescent="0.35">
      <c r="A1378" s="7"/>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c r="AB1378" s="7"/>
      <c r="AC1378" s="7"/>
      <c r="AD1378" s="7"/>
      <c r="AE1378" s="7"/>
      <c r="AF1378" s="7"/>
      <c r="AG1378" s="7"/>
      <c r="AH1378" s="7"/>
      <c r="AI1378" s="7"/>
      <c r="AJ1378" s="7"/>
      <c r="AK1378" s="7"/>
      <c r="AL1378" s="7"/>
      <c r="AM1378" s="7"/>
      <c r="AN1378" s="7"/>
      <c r="AO1378" s="7"/>
      <c r="AP1378" s="7"/>
      <c r="AQ1378" s="7"/>
      <c r="AR1378" s="7"/>
      <c r="AS1378" s="7"/>
      <c r="AT1378" s="7"/>
      <c r="AU1378" s="7"/>
      <c r="AV1378" s="7"/>
      <c r="AW1378" s="7"/>
      <c r="AX1378" s="7"/>
      <c r="AY1378" s="7"/>
      <c r="AZ1378" s="7"/>
      <c r="BA1378" s="7"/>
      <c r="BB1378" s="7"/>
      <c r="BC1378" s="7"/>
      <c r="BD1378" s="7"/>
      <c r="BE1378" s="7"/>
      <c r="BF1378" s="7"/>
      <c r="BG1378" s="7"/>
      <c r="BH1378" s="7"/>
      <c r="BI1378" s="7"/>
      <c r="BJ1378" s="7"/>
      <c r="BK1378" s="7"/>
      <c r="BL1378" s="7"/>
      <c r="BM1378" s="7"/>
      <c r="BN1378" s="7"/>
      <c r="BO1378" s="7"/>
      <c r="BP1378" s="7"/>
      <c r="BQ1378" s="7"/>
      <c r="BR1378" s="7"/>
      <c r="BS1378" s="7"/>
      <c r="BT1378" s="7"/>
      <c r="BU1378" s="7"/>
      <c r="BV1378" s="7"/>
      <c r="BW1378" s="7"/>
      <c r="BX1378" s="7"/>
      <c r="BY1378" s="7"/>
    </row>
    <row r="1379" spans="1:77" x14ac:dyDescent="0.35">
      <c r="A1379" s="7"/>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c r="BW1379" s="7"/>
      <c r="BX1379" s="7"/>
      <c r="BY1379" s="7"/>
    </row>
    <row r="1380" spans="1:77" x14ac:dyDescent="0.35">
      <c r="A1380" s="7"/>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c r="AO1380" s="7"/>
      <c r="AP1380" s="7"/>
      <c r="AQ1380" s="7"/>
      <c r="AR1380" s="7"/>
      <c r="AS1380" s="7"/>
      <c r="AT1380" s="7"/>
      <c r="AU1380" s="7"/>
      <c r="AV1380" s="7"/>
      <c r="AW1380" s="7"/>
      <c r="AX1380" s="7"/>
      <c r="AY1380" s="7"/>
      <c r="AZ1380" s="7"/>
      <c r="BA1380" s="7"/>
      <c r="BB1380" s="7"/>
      <c r="BC1380" s="7"/>
      <c r="BD1380" s="7"/>
      <c r="BE1380" s="7"/>
      <c r="BF1380" s="7"/>
      <c r="BG1380" s="7"/>
      <c r="BH1380" s="7"/>
      <c r="BI1380" s="7"/>
      <c r="BJ1380" s="7"/>
      <c r="BK1380" s="7"/>
      <c r="BL1380" s="7"/>
      <c r="BM1380" s="7"/>
      <c r="BN1380" s="7"/>
      <c r="BO1380" s="7"/>
      <c r="BP1380" s="7"/>
      <c r="BQ1380" s="7"/>
      <c r="BR1380" s="7"/>
      <c r="BS1380" s="7"/>
      <c r="BT1380" s="7"/>
      <c r="BU1380" s="7"/>
      <c r="BV1380" s="7"/>
      <c r="BW1380" s="7"/>
      <c r="BX1380" s="7"/>
      <c r="BY1380" s="7"/>
    </row>
    <row r="1381" spans="1:77" x14ac:dyDescent="0.35">
      <c r="A1381" s="7"/>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c r="AB1381" s="7"/>
      <c r="AC1381" s="7"/>
      <c r="AD1381" s="7"/>
      <c r="AE1381" s="7"/>
      <c r="AF1381" s="7"/>
      <c r="AG1381" s="7"/>
      <c r="AH1381" s="7"/>
      <c r="AI1381" s="7"/>
      <c r="AJ1381" s="7"/>
      <c r="AK1381" s="7"/>
      <c r="AL1381" s="7"/>
      <c r="AM1381" s="7"/>
      <c r="AN1381" s="7"/>
      <c r="AO1381" s="7"/>
      <c r="AP1381" s="7"/>
      <c r="AQ1381" s="7"/>
      <c r="AR1381" s="7"/>
      <c r="AS1381" s="7"/>
      <c r="AT1381" s="7"/>
      <c r="AU1381" s="7"/>
      <c r="AV1381" s="7"/>
      <c r="AW1381" s="7"/>
      <c r="AX1381" s="7"/>
      <c r="AY1381" s="7"/>
      <c r="AZ1381" s="7"/>
      <c r="BA1381" s="7"/>
      <c r="BB1381" s="7"/>
      <c r="BC1381" s="7"/>
      <c r="BD1381" s="7"/>
      <c r="BE1381" s="7"/>
      <c r="BF1381" s="7"/>
      <c r="BG1381" s="7"/>
      <c r="BH1381" s="7"/>
      <c r="BI1381" s="7"/>
      <c r="BJ1381" s="7"/>
      <c r="BK1381" s="7"/>
      <c r="BL1381" s="7"/>
      <c r="BM1381" s="7"/>
      <c r="BN1381" s="7"/>
      <c r="BO1381" s="7"/>
      <c r="BP1381" s="7"/>
      <c r="BQ1381" s="7"/>
      <c r="BR1381" s="7"/>
      <c r="BS1381" s="7"/>
      <c r="BT1381" s="7"/>
      <c r="BU1381" s="7"/>
      <c r="BV1381" s="7"/>
      <c r="BW1381" s="7"/>
      <c r="BX1381" s="7"/>
      <c r="BY1381" s="7"/>
    </row>
    <row r="1382" spans="1:77" x14ac:dyDescent="0.35">
      <c r="A1382" s="7"/>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c r="AF1382" s="7"/>
      <c r="AG1382" s="7"/>
      <c r="AH1382" s="7"/>
      <c r="AI1382" s="7"/>
      <c r="AJ1382" s="7"/>
      <c r="AK1382" s="7"/>
      <c r="AL1382" s="7"/>
      <c r="AM1382" s="7"/>
      <c r="AN1382" s="7"/>
      <c r="AO1382" s="7"/>
      <c r="AP1382" s="7"/>
      <c r="AQ1382" s="7"/>
      <c r="AR1382" s="7"/>
      <c r="AS1382" s="7"/>
      <c r="AT1382" s="7"/>
      <c r="AU1382" s="7"/>
      <c r="AV1382" s="7"/>
      <c r="AW1382" s="7"/>
      <c r="AX1382" s="7"/>
      <c r="AY1382" s="7"/>
      <c r="AZ1382" s="7"/>
      <c r="BA1382" s="7"/>
      <c r="BB1382" s="7"/>
      <c r="BC1382" s="7"/>
      <c r="BD1382" s="7"/>
      <c r="BE1382" s="7"/>
      <c r="BF1382" s="7"/>
      <c r="BG1382" s="7"/>
      <c r="BH1382" s="7"/>
      <c r="BI1382" s="7"/>
      <c r="BJ1382" s="7"/>
      <c r="BK1382" s="7"/>
      <c r="BL1382" s="7"/>
      <c r="BM1382" s="7"/>
      <c r="BN1382" s="7"/>
      <c r="BO1382" s="7"/>
      <c r="BP1382" s="7"/>
      <c r="BQ1382" s="7"/>
      <c r="BR1382" s="7"/>
      <c r="BS1382" s="7"/>
      <c r="BT1382" s="7"/>
      <c r="BU1382" s="7"/>
      <c r="BV1382" s="7"/>
      <c r="BW1382" s="7"/>
      <c r="BX1382" s="7"/>
      <c r="BY1382" s="7"/>
    </row>
    <row r="1383" spans="1:77" x14ac:dyDescent="0.35">
      <c r="A1383" s="7"/>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c r="AB1383" s="7"/>
      <c r="AC1383" s="7"/>
      <c r="AD1383" s="7"/>
      <c r="AE1383" s="7"/>
      <c r="AF1383" s="7"/>
      <c r="AG1383" s="7"/>
      <c r="AH1383" s="7"/>
      <c r="AI1383" s="7"/>
      <c r="AJ1383" s="7"/>
      <c r="AK1383" s="7"/>
      <c r="AL1383" s="7"/>
      <c r="AM1383" s="7"/>
      <c r="AN1383" s="7"/>
      <c r="AO1383" s="7"/>
      <c r="AP1383" s="7"/>
      <c r="AQ1383" s="7"/>
      <c r="AR1383" s="7"/>
      <c r="AS1383" s="7"/>
      <c r="AT1383" s="7"/>
      <c r="AU1383" s="7"/>
      <c r="AV1383" s="7"/>
      <c r="AW1383" s="7"/>
      <c r="AX1383" s="7"/>
      <c r="AY1383" s="7"/>
      <c r="AZ1383" s="7"/>
      <c r="BA1383" s="7"/>
      <c r="BB1383" s="7"/>
      <c r="BC1383" s="7"/>
      <c r="BD1383" s="7"/>
      <c r="BE1383" s="7"/>
      <c r="BF1383" s="7"/>
      <c r="BG1383" s="7"/>
      <c r="BH1383" s="7"/>
      <c r="BI1383" s="7"/>
      <c r="BJ1383" s="7"/>
      <c r="BK1383" s="7"/>
      <c r="BL1383" s="7"/>
      <c r="BM1383" s="7"/>
      <c r="BN1383" s="7"/>
      <c r="BO1383" s="7"/>
      <c r="BP1383" s="7"/>
      <c r="BQ1383" s="7"/>
      <c r="BR1383" s="7"/>
      <c r="BS1383" s="7"/>
      <c r="BT1383" s="7"/>
      <c r="BU1383" s="7"/>
      <c r="BV1383" s="7"/>
      <c r="BW1383" s="7"/>
      <c r="BX1383" s="7"/>
      <c r="BY1383" s="7"/>
    </row>
    <row r="1384" spans="1:77" x14ac:dyDescent="0.35">
      <c r="A1384" s="7"/>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c r="AB1384" s="7"/>
      <c r="AC1384" s="7"/>
      <c r="AD1384" s="7"/>
      <c r="AE1384" s="7"/>
      <c r="AF1384" s="7"/>
      <c r="AG1384" s="7"/>
      <c r="AH1384" s="7"/>
      <c r="AI1384" s="7"/>
      <c r="AJ1384" s="7"/>
      <c r="AK1384" s="7"/>
      <c r="AL1384" s="7"/>
      <c r="AM1384" s="7"/>
      <c r="AN1384" s="7"/>
      <c r="AO1384" s="7"/>
      <c r="AP1384" s="7"/>
      <c r="AQ1384" s="7"/>
      <c r="AR1384" s="7"/>
      <c r="AS1384" s="7"/>
      <c r="AT1384" s="7"/>
      <c r="AU1384" s="7"/>
      <c r="AV1384" s="7"/>
      <c r="AW1384" s="7"/>
      <c r="AX1384" s="7"/>
      <c r="AY1384" s="7"/>
      <c r="AZ1384" s="7"/>
      <c r="BA1384" s="7"/>
      <c r="BB1384" s="7"/>
      <c r="BC1384" s="7"/>
      <c r="BD1384" s="7"/>
      <c r="BE1384" s="7"/>
      <c r="BF1384" s="7"/>
      <c r="BG1384" s="7"/>
      <c r="BH1384" s="7"/>
      <c r="BI1384" s="7"/>
      <c r="BJ1384" s="7"/>
      <c r="BK1384" s="7"/>
      <c r="BL1384" s="7"/>
      <c r="BM1384" s="7"/>
      <c r="BN1384" s="7"/>
      <c r="BO1384" s="7"/>
      <c r="BP1384" s="7"/>
      <c r="BQ1384" s="7"/>
      <c r="BR1384" s="7"/>
      <c r="BS1384" s="7"/>
      <c r="BT1384" s="7"/>
      <c r="BU1384" s="7"/>
      <c r="BV1384" s="7"/>
      <c r="BW1384" s="7"/>
      <c r="BX1384" s="7"/>
      <c r="BY1384" s="7"/>
    </row>
    <row r="1385" spans="1:77" x14ac:dyDescent="0.35">
      <c r="A1385" s="7"/>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c r="AB1385" s="7"/>
      <c r="AC1385" s="7"/>
      <c r="AD1385" s="7"/>
      <c r="AE1385" s="7"/>
      <c r="AF1385" s="7"/>
      <c r="AG1385" s="7"/>
      <c r="AH1385" s="7"/>
      <c r="AI1385" s="7"/>
      <c r="AJ1385" s="7"/>
      <c r="AK1385" s="7"/>
      <c r="AL1385" s="7"/>
      <c r="AM1385" s="7"/>
      <c r="AN1385" s="7"/>
      <c r="AO1385" s="7"/>
      <c r="AP1385" s="7"/>
      <c r="AQ1385" s="7"/>
      <c r="AR1385" s="7"/>
      <c r="AS1385" s="7"/>
      <c r="AT1385" s="7"/>
      <c r="AU1385" s="7"/>
      <c r="AV1385" s="7"/>
      <c r="AW1385" s="7"/>
      <c r="AX1385" s="7"/>
      <c r="AY1385" s="7"/>
      <c r="AZ1385" s="7"/>
      <c r="BA1385" s="7"/>
      <c r="BB1385" s="7"/>
      <c r="BC1385" s="7"/>
      <c r="BD1385" s="7"/>
      <c r="BE1385" s="7"/>
      <c r="BF1385" s="7"/>
      <c r="BG1385" s="7"/>
      <c r="BH1385" s="7"/>
      <c r="BI1385" s="7"/>
      <c r="BJ1385" s="7"/>
      <c r="BK1385" s="7"/>
      <c r="BL1385" s="7"/>
      <c r="BM1385" s="7"/>
      <c r="BN1385" s="7"/>
      <c r="BO1385" s="7"/>
      <c r="BP1385" s="7"/>
      <c r="BQ1385" s="7"/>
      <c r="BR1385" s="7"/>
      <c r="BS1385" s="7"/>
      <c r="BT1385" s="7"/>
      <c r="BU1385" s="7"/>
      <c r="BV1385" s="7"/>
      <c r="BW1385" s="7"/>
      <c r="BX1385" s="7"/>
      <c r="BY1385" s="7"/>
    </row>
    <row r="1386" spans="1:77" x14ac:dyDescent="0.35">
      <c r="A1386" s="7"/>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c r="AF1386" s="7"/>
      <c r="AG1386" s="7"/>
      <c r="AH1386" s="7"/>
      <c r="AI1386" s="7"/>
      <c r="AJ1386" s="7"/>
      <c r="AK1386" s="7"/>
      <c r="AL1386" s="7"/>
      <c r="AM1386" s="7"/>
      <c r="AN1386" s="7"/>
      <c r="AO1386" s="7"/>
      <c r="AP1386" s="7"/>
      <c r="AQ1386" s="7"/>
      <c r="AR1386" s="7"/>
      <c r="AS1386" s="7"/>
      <c r="AT1386" s="7"/>
      <c r="AU1386" s="7"/>
      <c r="AV1386" s="7"/>
      <c r="AW1386" s="7"/>
      <c r="AX1386" s="7"/>
      <c r="AY1386" s="7"/>
      <c r="AZ1386" s="7"/>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c r="BW1386" s="7"/>
      <c r="BX1386" s="7"/>
      <c r="BY1386" s="7"/>
    </row>
    <row r="1387" spans="1:77" x14ac:dyDescent="0.35">
      <c r="A1387" s="7"/>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c r="AB1387" s="7"/>
      <c r="AC1387" s="7"/>
      <c r="AD1387" s="7"/>
      <c r="AE1387" s="7"/>
      <c r="AF1387" s="7"/>
      <c r="AG1387" s="7"/>
      <c r="AH1387" s="7"/>
      <c r="AI1387" s="7"/>
      <c r="AJ1387" s="7"/>
      <c r="AK1387" s="7"/>
      <c r="AL1387" s="7"/>
      <c r="AM1387" s="7"/>
      <c r="AN1387" s="7"/>
      <c r="AO1387" s="7"/>
      <c r="AP1387" s="7"/>
      <c r="AQ1387" s="7"/>
      <c r="AR1387" s="7"/>
      <c r="AS1387" s="7"/>
      <c r="AT1387" s="7"/>
      <c r="AU1387" s="7"/>
      <c r="AV1387" s="7"/>
      <c r="AW1387" s="7"/>
      <c r="AX1387" s="7"/>
      <c r="AY1387" s="7"/>
      <c r="AZ1387" s="7"/>
      <c r="BA1387" s="7"/>
      <c r="BB1387" s="7"/>
      <c r="BC1387" s="7"/>
      <c r="BD1387" s="7"/>
      <c r="BE1387" s="7"/>
      <c r="BF1387" s="7"/>
      <c r="BG1387" s="7"/>
      <c r="BH1387" s="7"/>
      <c r="BI1387" s="7"/>
      <c r="BJ1387" s="7"/>
      <c r="BK1387" s="7"/>
      <c r="BL1387" s="7"/>
      <c r="BM1387" s="7"/>
      <c r="BN1387" s="7"/>
      <c r="BO1387" s="7"/>
      <c r="BP1387" s="7"/>
      <c r="BQ1387" s="7"/>
      <c r="BR1387" s="7"/>
      <c r="BS1387" s="7"/>
      <c r="BT1387" s="7"/>
      <c r="BU1387" s="7"/>
      <c r="BV1387" s="7"/>
      <c r="BW1387" s="7"/>
      <c r="BX1387" s="7"/>
      <c r="BY1387" s="7"/>
    </row>
    <row r="1388" spans="1:77" x14ac:dyDescent="0.35">
      <c r="A1388" s="7"/>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7"/>
      <c r="AO1388" s="7"/>
      <c r="AP1388" s="7"/>
      <c r="AQ1388" s="7"/>
      <c r="AR1388" s="7"/>
      <c r="AS1388" s="7"/>
      <c r="AT1388" s="7"/>
      <c r="AU1388" s="7"/>
      <c r="AV1388" s="7"/>
      <c r="AW1388" s="7"/>
      <c r="AX1388" s="7"/>
      <c r="AY1388" s="7"/>
      <c r="AZ1388" s="7"/>
      <c r="BA1388" s="7"/>
      <c r="BB1388" s="7"/>
      <c r="BC1388" s="7"/>
      <c r="BD1388" s="7"/>
      <c r="BE1388" s="7"/>
      <c r="BF1388" s="7"/>
      <c r="BG1388" s="7"/>
      <c r="BH1388" s="7"/>
      <c r="BI1388" s="7"/>
      <c r="BJ1388" s="7"/>
      <c r="BK1388" s="7"/>
      <c r="BL1388" s="7"/>
      <c r="BM1388" s="7"/>
      <c r="BN1388" s="7"/>
      <c r="BO1388" s="7"/>
      <c r="BP1388" s="7"/>
      <c r="BQ1388" s="7"/>
      <c r="BR1388" s="7"/>
      <c r="BS1388" s="7"/>
      <c r="BT1388" s="7"/>
      <c r="BU1388" s="7"/>
      <c r="BV1388" s="7"/>
      <c r="BW1388" s="7"/>
      <c r="BX1388" s="7"/>
      <c r="BY1388" s="7"/>
    </row>
    <row r="1389" spans="1:77" x14ac:dyDescent="0.35">
      <c r="A1389" s="7"/>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c r="AB1389" s="7"/>
      <c r="AC1389" s="7"/>
      <c r="AD1389" s="7"/>
      <c r="AE1389" s="7"/>
      <c r="AF1389" s="7"/>
      <c r="AG1389" s="7"/>
      <c r="AH1389" s="7"/>
      <c r="AI1389" s="7"/>
      <c r="AJ1389" s="7"/>
      <c r="AK1389" s="7"/>
      <c r="AL1389" s="7"/>
      <c r="AM1389" s="7"/>
      <c r="AN1389" s="7"/>
      <c r="AO1389" s="7"/>
      <c r="AP1389" s="7"/>
      <c r="AQ1389" s="7"/>
      <c r="AR1389" s="7"/>
      <c r="AS1389" s="7"/>
      <c r="AT1389" s="7"/>
      <c r="AU1389" s="7"/>
      <c r="AV1389" s="7"/>
      <c r="AW1389" s="7"/>
      <c r="AX1389" s="7"/>
      <c r="AY1389" s="7"/>
      <c r="AZ1389" s="7"/>
      <c r="BA1389" s="7"/>
      <c r="BB1389" s="7"/>
      <c r="BC1389" s="7"/>
      <c r="BD1389" s="7"/>
      <c r="BE1389" s="7"/>
      <c r="BF1389" s="7"/>
      <c r="BG1389" s="7"/>
      <c r="BH1389" s="7"/>
      <c r="BI1389" s="7"/>
      <c r="BJ1389" s="7"/>
      <c r="BK1389" s="7"/>
      <c r="BL1389" s="7"/>
      <c r="BM1389" s="7"/>
      <c r="BN1389" s="7"/>
      <c r="BO1389" s="7"/>
      <c r="BP1389" s="7"/>
      <c r="BQ1389" s="7"/>
      <c r="BR1389" s="7"/>
      <c r="BS1389" s="7"/>
      <c r="BT1389" s="7"/>
      <c r="BU1389" s="7"/>
      <c r="BV1389" s="7"/>
      <c r="BW1389" s="7"/>
      <c r="BX1389" s="7"/>
      <c r="BY1389" s="7"/>
    </row>
    <row r="1390" spans="1:77" x14ac:dyDescent="0.35">
      <c r="A1390" s="7"/>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7"/>
      <c r="BB1390" s="7"/>
      <c r="BC1390" s="7"/>
      <c r="BD1390" s="7"/>
      <c r="BE1390" s="7"/>
      <c r="BF1390" s="7"/>
      <c r="BG1390" s="7"/>
      <c r="BH1390" s="7"/>
      <c r="BI1390" s="7"/>
      <c r="BJ1390" s="7"/>
      <c r="BK1390" s="7"/>
      <c r="BL1390" s="7"/>
      <c r="BM1390" s="7"/>
      <c r="BN1390" s="7"/>
      <c r="BO1390" s="7"/>
      <c r="BP1390" s="7"/>
      <c r="BQ1390" s="7"/>
      <c r="BR1390" s="7"/>
      <c r="BS1390" s="7"/>
      <c r="BT1390" s="7"/>
      <c r="BU1390" s="7"/>
      <c r="BV1390" s="7"/>
      <c r="BW1390" s="7"/>
      <c r="BX1390" s="7"/>
      <c r="BY1390" s="7"/>
    </row>
    <row r="1391" spans="1:77" x14ac:dyDescent="0.35">
      <c r="A1391" s="7"/>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c r="AF1391" s="7"/>
      <c r="AG1391" s="7"/>
      <c r="AH1391" s="7"/>
      <c r="AI1391" s="7"/>
      <c r="AJ1391" s="7"/>
      <c r="AK1391" s="7"/>
      <c r="AL1391" s="7"/>
      <c r="AM1391" s="7"/>
      <c r="AN1391" s="7"/>
      <c r="AO1391" s="7"/>
      <c r="AP1391" s="7"/>
      <c r="AQ1391" s="7"/>
      <c r="AR1391" s="7"/>
      <c r="AS1391" s="7"/>
      <c r="AT1391" s="7"/>
      <c r="AU1391" s="7"/>
      <c r="AV1391" s="7"/>
      <c r="AW1391" s="7"/>
      <c r="AX1391" s="7"/>
      <c r="AY1391" s="7"/>
      <c r="AZ1391" s="7"/>
      <c r="BA1391" s="7"/>
      <c r="BB1391" s="7"/>
      <c r="BC1391" s="7"/>
      <c r="BD1391" s="7"/>
      <c r="BE1391" s="7"/>
      <c r="BF1391" s="7"/>
      <c r="BG1391" s="7"/>
      <c r="BH1391" s="7"/>
      <c r="BI1391" s="7"/>
      <c r="BJ1391" s="7"/>
      <c r="BK1391" s="7"/>
      <c r="BL1391" s="7"/>
      <c r="BM1391" s="7"/>
      <c r="BN1391" s="7"/>
      <c r="BO1391" s="7"/>
      <c r="BP1391" s="7"/>
      <c r="BQ1391" s="7"/>
      <c r="BR1391" s="7"/>
      <c r="BS1391" s="7"/>
      <c r="BT1391" s="7"/>
      <c r="BU1391" s="7"/>
      <c r="BV1391" s="7"/>
      <c r="BW1391" s="7"/>
      <c r="BX1391" s="7"/>
      <c r="BY1391" s="7"/>
    </row>
    <row r="1392" spans="1:77" x14ac:dyDescent="0.35">
      <c r="A1392" s="7"/>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c r="AB1392" s="7"/>
      <c r="AC1392" s="7"/>
      <c r="AD1392" s="7"/>
      <c r="AE1392" s="7"/>
      <c r="AF1392" s="7"/>
      <c r="AG1392" s="7"/>
      <c r="AH1392" s="7"/>
      <c r="AI1392" s="7"/>
      <c r="AJ1392" s="7"/>
      <c r="AK1392" s="7"/>
      <c r="AL1392" s="7"/>
      <c r="AM1392" s="7"/>
      <c r="AN1392" s="7"/>
      <c r="AO1392" s="7"/>
      <c r="AP1392" s="7"/>
      <c r="AQ1392" s="7"/>
      <c r="AR1392" s="7"/>
      <c r="AS1392" s="7"/>
      <c r="AT1392" s="7"/>
      <c r="AU1392" s="7"/>
      <c r="AV1392" s="7"/>
      <c r="AW1392" s="7"/>
      <c r="AX1392" s="7"/>
      <c r="AY1392" s="7"/>
      <c r="AZ1392" s="7"/>
      <c r="BA1392" s="7"/>
      <c r="BB1392" s="7"/>
      <c r="BC1392" s="7"/>
      <c r="BD1392" s="7"/>
      <c r="BE1392" s="7"/>
      <c r="BF1392" s="7"/>
      <c r="BG1392" s="7"/>
      <c r="BH1392" s="7"/>
      <c r="BI1392" s="7"/>
      <c r="BJ1392" s="7"/>
      <c r="BK1392" s="7"/>
      <c r="BL1392" s="7"/>
      <c r="BM1392" s="7"/>
      <c r="BN1392" s="7"/>
      <c r="BO1392" s="7"/>
      <c r="BP1392" s="7"/>
      <c r="BQ1392" s="7"/>
      <c r="BR1392" s="7"/>
      <c r="BS1392" s="7"/>
      <c r="BT1392" s="7"/>
      <c r="BU1392" s="7"/>
      <c r="BV1392" s="7"/>
      <c r="BW1392" s="7"/>
      <c r="BX1392" s="7"/>
      <c r="BY1392" s="7"/>
    </row>
    <row r="1393" spans="1:77" x14ac:dyDescent="0.35">
      <c r="A1393" s="7"/>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c r="AB1393" s="7"/>
      <c r="AC1393" s="7"/>
      <c r="AD1393" s="7"/>
      <c r="AE1393" s="7"/>
      <c r="AF1393" s="7"/>
      <c r="AG1393" s="7"/>
      <c r="AH1393" s="7"/>
      <c r="AI1393" s="7"/>
      <c r="AJ1393" s="7"/>
      <c r="AK1393" s="7"/>
      <c r="AL1393" s="7"/>
      <c r="AM1393" s="7"/>
      <c r="AN1393" s="7"/>
      <c r="AO1393" s="7"/>
      <c r="AP1393" s="7"/>
      <c r="AQ1393" s="7"/>
      <c r="AR1393" s="7"/>
      <c r="AS1393" s="7"/>
      <c r="AT1393" s="7"/>
      <c r="AU1393" s="7"/>
      <c r="AV1393" s="7"/>
      <c r="AW1393" s="7"/>
      <c r="AX1393" s="7"/>
      <c r="AY1393" s="7"/>
      <c r="AZ1393" s="7"/>
      <c r="BA1393" s="7"/>
      <c r="BB1393" s="7"/>
      <c r="BC1393" s="7"/>
      <c r="BD1393" s="7"/>
      <c r="BE1393" s="7"/>
      <c r="BF1393" s="7"/>
      <c r="BG1393" s="7"/>
      <c r="BH1393" s="7"/>
      <c r="BI1393" s="7"/>
      <c r="BJ1393" s="7"/>
      <c r="BK1393" s="7"/>
      <c r="BL1393" s="7"/>
      <c r="BM1393" s="7"/>
      <c r="BN1393" s="7"/>
      <c r="BO1393" s="7"/>
      <c r="BP1393" s="7"/>
      <c r="BQ1393" s="7"/>
      <c r="BR1393" s="7"/>
      <c r="BS1393" s="7"/>
      <c r="BT1393" s="7"/>
      <c r="BU1393" s="7"/>
      <c r="BV1393" s="7"/>
      <c r="BW1393" s="7"/>
      <c r="BX1393" s="7"/>
      <c r="BY1393" s="7"/>
    </row>
    <row r="1394" spans="1:77" x14ac:dyDescent="0.35">
      <c r="A1394" s="7"/>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c r="AB1394" s="7"/>
      <c r="AC1394" s="7"/>
      <c r="AD1394" s="7"/>
      <c r="AE1394" s="7"/>
      <c r="AF1394" s="7"/>
      <c r="AG1394" s="7"/>
      <c r="AH1394" s="7"/>
      <c r="AI1394" s="7"/>
      <c r="AJ1394" s="7"/>
      <c r="AK1394" s="7"/>
      <c r="AL1394" s="7"/>
      <c r="AM1394" s="7"/>
      <c r="AN1394" s="7"/>
      <c r="AO1394" s="7"/>
      <c r="AP1394" s="7"/>
      <c r="AQ1394" s="7"/>
      <c r="AR1394" s="7"/>
      <c r="AS1394" s="7"/>
      <c r="AT1394" s="7"/>
      <c r="AU1394" s="7"/>
      <c r="AV1394" s="7"/>
      <c r="AW1394" s="7"/>
      <c r="AX1394" s="7"/>
      <c r="AY1394" s="7"/>
      <c r="AZ1394" s="7"/>
      <c r="BA1394" s="7"/>
      <c r="BB1394" s="7"/>
      <c r="BC1394" s="7"/>
      <c r="BD1394" s="7"/>
      <c r="BE1394" s="7"/>
      <c r="BF1394" s="7"/>
      <c r="BG1394" s="7"/>
      <c r="BH1394" s="7"/>
      <c r="BI1394" s="7"/>
      <c r="BJ1394" s="7"/>
      <c r="BK1394" s="7"/>
      <c r="BL1394" s="7"/>
      <c r="BM1394" s="7"/>
      <c r="BN1394" s="7"/>
      <c r="BO1394" s="7"/>
      <c r="BP1394" s="7"/>
      <c r="BQ1394" s="7"/>
      <c r="BR1394" s="7"/>
      <c r="BS1394" s="7"/>
      <c r="BT1394" s="7"/>
      <c r="BU1394" s="7"/>
      <c r="BV1394" s="7"/>
      <c r="BW1394" s="7"/>
      <c r="BX1394" s="7"/>
      <c r="BY1394" s="7"/>
    </row>
    <row r="1395" spans="1:77" x14ac:dyDescent="0.35">
      <c r="A1395" s="7"/>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7"/>
      <c r="AG1395" s="7"/>
      <c r="AH1395" s="7"/>
      <c r="AI1395" s="7"/>
      <c r="AJ1395" s="7"/>
      <c r="AK1395" s="7"/>
      <c r="AL1395" s="7"/>
      <c r="AM1395" s="7"/>
      <c r="AN1395" s="7"/>
      <c r="AO1395" s="7"/>
      <c r="AP1395" s="7"/>
      <c r="AQ1395" s="7"/>
      <c r="AR1395" s="7"/>
      <c r="AS1395" s="7"/>
      <c r="AT1395" s="7"/>
      <c r="AU1395" s="7"/>
      <c r="AV1395" s="7"/>
      <c r="AW1395" s="7"/>
      <c r="AX1395" s="7"/>
      <c r="AY1395" s="7"/>
      <c r="AZ1395" s="7"/>
      <c r="BA1395" s="7"/>
      <c r="BB1395" s="7"/>
      <c r="BC1395" s="7"/>
      <c r="BD1395" s="7"/>
      <c r="BE1395" s="7"/>
      <c r="BF1395" s="7"/>
      <c r="BG1395" s="7"/>
      <c r="BH1395" s="7"/>
      <c r="BI1395" s="7"/>
      <c r="BJ1395" s="7"/>
      <c r="BK1395" s="7"/>
      <c r="BL1395" s="7"/>
      <c r="BM1395" s="7"/>
      <c r="BN1395" s="7"/>
      <c r="BO1395" s="7"/>
      <c r="BP1395" s="7"/>
      <c r="BQ1395" s="7"/>
      <c r="BR1395" s="7"/>
      <c r="BS1395" s="7"/>
      <c r="BT1395" s="7"/>
      <c r="BU1395" s="7"/>
      <c r="BV1395" s="7"/>
      <c r="BW1395" s="7"/>
      <c r="BX1395" s="7"/>
      <c r="BY1395" s="7"/>
    </row>
    <row r="1396" spans="1:77" x14ac:dyDescent="0.35">
      <c r="A1396" s="7"/>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c r="AB1396" s="7"/>
      <c r="AC1396" s="7"/>
      <c r="AD1396" s="7"/>
      <c r="AE1396" s="7"/>
      <c r="AF1396" s="7"/>
      <c r="AG1396" s="7"/>
      <c r="AH1396" s="7"/>
      <c r="AI1396" s="7"/>
      <c r="AJ1396" s="7"/>
      <c r="AK1396" s="7"/>
      <c r="AL1396" s="7"/>
      <c r="AM1396" s="7"/>
      <c r="AN1396" s="7"/>
      <c r="AO1396" s="7"/>
      <c r="AP1396" s="7"/>
      <c r="AQ1396" s="7"/>
      <c r="AR1396" s="7"/>
      <c r="AS1396" s="7"/>
      <c r="AT1396" s="7"/>
      <c r="AU1396" s="7"/>
      <c r="AV1396" s="7"/>
      <c r="AW1396" s="7"/>
      <c r="AX1396" s="7"/>
      <c r="AY1396" s="7"/>
      <c r="AZ1396" s="7"/>
      <c r="BA1396" s="7"/>
      <c r="BB1396" s="7"/>
      <c r="BC1396" s="7"/>
      <c r="BD1396" s="7"/>
      <c r="BE1396" s="7"/>
      <c r="BF1396" s="7"/>
      <c r="BG1396" s="7"/>
      <c r="BH1396" s="7"/>
      <c r="BI1396" s="7"/>
      <c r="BJ1396" s="7"/>
      <c r="BK1396" s="7"/>
      <c r="BL1396" s="7"/>
      <c r="BM1396" s="7"/>
      <c r="BN1396" s="7"/>
      <c r="BO1396" s="7"/>
      <c r="BP1396" s="7"/>
      <c r="BQ1396" s="7"/>
      <c r="BR1396" s="7"/>
      <c r="BS1396" s="7"/>
      <c r="BT1396" s="7"/>
      <c r="BU1396" s="7"/>
      <c r="BV1396" s="7"/>
      <c r="BW1396" s="7"/>
      <c r="BX1396" s="7"/>
      <c r="BY1396" s="7"/>
    </row>
    <row r="1397" spans="1:77" x14ac:dyDescent="0.35">
      <c r="A1397" s="7"/>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c r="AB1397" s="7"/>
      <c r="AC1397" s="7"/>
      <c r="AD1397" s="7"/>
      <c r="AE1397" s="7"/>
      <c r="AF1397" s="7"/>
      <c r="AG1397" s="7"/>
      <c r="AH1397" s="7"/>
      <c r="AI1397" s="7"/>
      <c r="AJ1397" s="7"/>
      <c r="AK1397" s="7"/>
      <c r="AL1397" s="7"/>
      <c r="AM1397" s="7"/>
      <c r="AN1397" s="7"/>
      <c r="AO1397" s="7"/>
      <c r="AP1397" s="7"/>
      <c r="AQ1397" s="7"/>
      <c r="AR1397" s="7"/>
      <c r="AS1397" s="7"/>
      <c r="AT1397" s="7"/>
      <c r="AU1397" s="7"/>
      <c r="AV1397" s="7"/>
      <c r="AW1397" s="7"/>
      <c r="AX1397" s="7"/>
      <c r="AY1397" s="7"/>
      <c r="AZ1397" s="7"/>
      <c r="BA1397" s="7"/>
      <c r="BB1397" s="7"/>
      <c r="BC1397" s="7"/>
      <c r="BD1397" s="7"/>
      <c r="BE1397" s="7"/>
      <c r="BF1397" s="7"/>
      <c r="BG1397" s="7"/>
      <c r="BH1397" s="7"/>
      <c r="BI1397" s="7"/>
      <c r="BJ1397" s="7"/>
      <c r="BK1397" s="7"/>
      <c r="BL1397" s="7"/>
      <c r="BM1397" s="7"/>
      <c r="BN1397" s="7"/>
      <c r="BO1397" s="7"/>
      <c r="BP1397" s="7"/>
      <c r="BQ1397" s="7"/>
      <c r="BR1397" s="7"/>
      <c r="BS1397" s="7"/>
      <c r="BT1397" s="7"/>
      <c r="BU1397" s="7"/>
      <c r="BV1397" s="7"/>
      <c r="BW1397" s="7"/>
      <c r="BX1397" s="7"/>
      <c r="BY1397" s="7"/>
    </row>
  </sheetData>
  <sheetProtection algorithmName="SHA-512" hashValue="DuD39sYMtwWimDaqOP8IPEkILG8L3ViYH3JJ3yPVVOYwIXc5vjQjXRhyNSiYFQety871aHaN87Nq47R6U0aw1Q==" saltValue="e8zkvA6v0TWC8O9S4Cl6k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0DA6-56C2-4D4B-A72B-041B23DBD2E1}">
  <dimension ref="A4:B9"/>
  <sheetViews>
    <sheetView workbookViewId="0">
      <selection activeCell="W14" sqref="W14"/>
    </sheetView>
  </sheetViews>
  <sheetFormatPr defaultRowHeight="14.5" x14ac:dyDescent="0.35"/>
  <cols>
    <col min="1" max="1" width="14.81640625" bestFit="1" customWidth="1"/>
    <col min="2" max="2" width="16.6328125" bestFit="1" customWidth="1"/>
    <col min="3" max="3" width="18.81640625" bestFit="1" customWidth="1"/>
    <col min="4" max="4" width="2" bestFit="1" customWidth="1"/>
    <col min="5" max="7" width="3" bestFit="1" customWidth="1"/>
    <col min="8" max="10" width="4" bestFit="1" customWidth="1"/>
    <col min="11" max="34" width="5.54296875" bestFit="1" customWidth="1"/>
    <col min="35" max="100" width="6.54296875" bestFit="1" customWidth="1"/>
    <col min="101" max="166" width="7.54296875" bestFit="1" customWidth="1"/>
    <col min="167" max="214" width="9.1796875" bestFit="1" customWidth="1"/>
    <col min="215" max="225" width="10.1796875" bestFit="1" customWidth="1"/>
    <col min="226" max="226" width="11.26953125" bestFit="1" customWidth="1"/>
    <col min="227" max="450" width="31.54296875" bestFit="1" customWidth="1"/>
    <col min="451" max="451" width="22.7265625" bestFit="1" customWidth="1"/>
    <col min="452" max="452" width="23.81640625" bestFit="1" customWidth="1"/>
  </cols>
  <sheetData>
    <row r="4" spans="1:2" x14ac:dyDescent="0.35">
      <c r="A4" s="4" t="s">
        <v>499</v>
      </c>
      <c r="B4" t="s">
        <v>500</v>
      </c>
    </row>
    <row r="5" spans="1:2" x14ac:dyDescent="0.35">
      <c r="A5" s="5" t="s">
        <v>34</v>
      </c>
      <c r="B5" s="6">
        <v>4680816</v>
      </c>
    </row>
    <row r="6" spans="1:2" x14ac:dyDescent="0.35">
      <c r="A6" s="5" t="s">
        <v>318</v>
      </c>
      <c r="B6" s="6">
        <v>693219</v>
      </c>
    </row>
    <row r="7" spans="1:2" x14ac:dyDescent="0.35">
      <c r="A7" s="5" t="s">
        <v>167</v>
      </c>
      <c r="B7" s="6">
        <v>72318</v>
      </c>
    </row>
    <row r="8" spans="1:2" x14ac:dyDescent="0.35">
      <c r="A8" s="5" t="s">
        <v>159</v>
      </c>
      <c r="B8" s="6">
        <v>64422</v>
      </c>
    </row>
    <row r="9" spans="1:2" x14ac:dyDescent="0.35">
      <c r="A9" s="5" t="s">
        <v>316</v>
      </c>
      <c r="B9" s="6">
        <v>60294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DF95-371C-499B-8269-8354A7DBDDC6}">
  <dimension ref="A1:B6"/>
  <sheetViews>
    <sheetView workbookViewId="0">
      <selection activeCell="L7" sqref="L7"/>
    </sheetView>
  </sheetViews>
  <sheetFormatPr defaultRowHeight="14.5" x14ac:dyDescent="0.35"/>
  <cols>
    <col min="1" max="1" width="16.6328125" bestFit="1" customWidth="1"/>
    <col min="2" max="2" width="17.90625" bestFit="1" customWidth="1"/>
  </cols>
  <sheetData>
    <row r="1" spans="1:2" x14ac:dyDescent="0.35">
      <c r="A1" s="4" t="s">
        <v>499</v>
      </c>
      <c r="B1" t="s">
        <v>503</v>
      </c>
    </row>
    <row r="2" spans="1:2" x14ac:dyDescent="0.35">
      <c r="A2" s="5" t="s">
        <v>34</v>
      </c>
      <c r="B2" s="1">
        <v>6384</v>
      </c>
    </row>
    <row r="3" spans="1:2" x14ac:dyDescent="0.35">
      <c r="A3" s="5" t="s">
        <v>159</v>
      </c>
      <c r="B3" s="1">
        <v>834</v>
      </c>
    </row>
    <row r="4" spans="1:2" x14ac:dyDescent="0.35">
      <c r="A4" s="5" t="s">
        <v>167</v>
      </c>
      <c r="B4" s="1">
        <v>646</v>
      </c>
    </row>
    <row r="5" spans="1:2" x14ac:dyDescent="0.35">
      <c r="A5" s="5" t="s">
        <v>344</v>
      </c>
      <c r="B5" s="1">
        <v>640</v>
      </c>
    </row>
    <row r="6" spans="1:2" x14ac:dyDescent="0.35">
      <c r="A6" s="5" t="s">
        <v>318</v>
      </c>
      <c r="B6" s="1">
        <v>350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D9D7C-CE49-481D-9C78-8A65B1446211}">
  <dimension ref="A3:B4"/>
  <sheetViews>
    <sheetView zoomScaleNormal="100" workbookViewId="0">
      <selection activeCell="C12" sqref="C12"/>
    </sheetView>
  </sheetViews>
  <sheetFormatPr defaultRowHeight="14.5" x14ac:dyDescent="0.35"/>
  <cols>
    <col min="1" max="1" width="12.36328125" bestFit="1" customWidth="1"/>
    <col min="2" max="2" width="16.6328125" bestFit="1" customWidth="1"/>
    <col min="3" max="3" width="18.81640625" bestFit="1" customWidth="1"/>
  </cols>
  <sheetData>
    <row r="3" spans="1:2" x14ac:dyDescent="0.35">
      <c r="A3" s="4" t="s">
        <v>499</v>
      </c>
      <c r="B3" t="s">
        <v>500</v>
      </c>
    </row>
    <row r="4" spans="1:2" x14ac:dyDescent="0.35">
      <c r="A4" s="5" t="s">
        <v>36</v>
      </c>
      <c r="B4" s="1">
        <v>5647957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C363-4C7E-4C27-86DA-07B1CA8513A8}">
  <dimension ref="A3:B4"/>
  <sheetViews>
    <sheetView zoomScaleNormal="100" workbookViewId="0">
      <selection activeCell="K11" sqref="K11"/>
    </sheetView>
  </sheetViews>
  <sheetFormatPr defaultRowHeight="14.5" x14ac:dyDescent="0.35"/>
  <cols>
    <col min="1" max="1" width="12.36328125" bestFit="1" customWidth="1"/>
    <col min="2" max="2" width="17.90625" bestFit="1" customWidth="1"/>
  </cols>
  <sheetData>
    <row r="3" spans="1:2" x14ac:dyDescent="0.35">
      <c r="A3" s="4" t="s">
        <v>499</v>
      </c>
      <c r="B3" t="s">
        <v>503</v>
      </c>
    </row>
    <row r="4" spans="1:2" x14ac:dyDescent="0.35">
      <c r="A4" s="5" t="s">
        <v>36</v>
      </c>
      <c r="B4" s="1">
        <v>9336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EDA49-1362-49EF-AE0A-CD0EA5CE101A}">
  <dimension ref="A3:B6"/>
  <sheetViews>
    <sheetView workbookViewId="0">
      <selection activeCell="B15" sqref="B15"/>
    </sheetView>
  </sheetViews>
  <sheetFormatPr defaultRowHeight="14.5" x14ac:dyDescent="0.35"/>
  <cols>
    <col min="1" max="1" width="16.6328125" bestFit="1" customWidth="1"/>
    <col min="2" max="2" width="22.26953125" bestFit="1" customWidth="1"/>
  </cols>
  <sheetData>
    <row r="3" spans="1:2" x14ac:dyDescent="0.35">
      <c r="A3" s="4" t="s">
        <v>499</v>
      </c>
      <c r="B3" t="s">
        <v>505</v>
      </c>
    </row>
    <row r="4" spans="1:2" x14ac:dyDescent="0.35">
      <c r="A4" s="5" t="s">
        <v>159</v>
      </c>
      <c r="B4" s="3">
        <v>1.2945888050665922E-2</v>
      </c>
    </row>
    <row r="5" spans="1:2" x14ac:dyDescent="0.35">
      <c r="A5" s="5" t="s">
        <v>344</v>
      </c>
      <c r="B5" s="3">
        <v>1.5164798710992109E-2</v>
      </c>
    </row>
    <row r="6" spans="1:2" x14ac:dyDescent="0.35">
      <c r="A6" s="5" t="s">
        <v>485</v>
      </c>
      <c r="B6" s="3">
        <v>1.5418502202643172E-2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88C3-AD8C-45A6-872C-6AEAC9FC7674}">
  <dimension ref="A3:B4"/>
  <sheetViews>
    <sheetView workbookViewId="0">
      <selection activeCell="J16" sqref="J16"/>
    </sheetView>
  </sheetViews>
  <sheetFormatPr defaultRowHeight="14.5" x14ac:dyDescent="0.35"/>
  <cols>
    <col min="1" max="1" width="21.26953125" bestFit="1" customWidth="1"/>
    <col min="2" max="2" width="16.6328125" bestFit="1" customWidth="1"/>
    <col min="3" max="3" width="2" bestFit="1" customWidth="1"/>
    <col min="4" max="7" width="3" bestFit="1" customWidth="1"/>
    <col min="8" max="10" width="4" bestFit="1" customWidth="1"/>
    <col min="11" max="34" width="5.54296875" bestFit="1" customWidth="1"/>
    <col min="35" max="100" width="6.54296875" bestFit="1" customWidth="1"/>
    <col min="101" max="166" width="7.54296875" bestFit="1" customWidth="1"/>
    <col min="167" max="214" width="9.1796875" bestFit="1" customWidth="1"/>
    <col min="215" max="225" width="10.1796875" bestFit="1" customWidth="1"/>
    <col min="226" max="226" width="12.453125" bestFit="1" customWidth="1"/>
    <col min="227" max="227" width="9.453125" bestFit="1" customWidth="1"/>
    <col min="228" max="228" width="12.453125" bestFit="1" customWidth="1"/>
    <col min="229" max="229" width="9.453125" bestFit="1" customWidth="1"/>
    <col min="230" max="230" width="12.453125" bestFit="1" customWidth="1"/>
    <col min="231" max="231" width="9.453125" bestFit="1" customWidth="1"/>
    <col min="232" max="232" width="12.453125" bestFit="1" customWidth="1"/>
    <col min="233" max="233" width="9.453125" bestFit="1" customWidth="1"/>
    <col min="234" max="234" width="12.453125" bestFit="1" customWidth="1"/>
    <col min="235" max="235" width="9.453125" bestFit="1" customWidth="1"/>
    <col min="236" max="236" width="12.453125" bestFit="1" customWidth="1"/>
    <col min="237" max="237" width="9.453125" bestFit="1" customWidth="1"/>
    <col min="238" max="238" width="12.453125" bestFit="1" customWidth="1"/>
    <col min="239" max="239" width="9.453125" bestFit="1" customWidth="1"/>
    <col min="240" max="240" width="12.453125" bestFit="1" customWidth="1"/>
    <col min="241" max="241" width="9.453125" bestFit="1" customWidth="1"/>
    <col min="242" max="242" width="12.453125" bestFit="1" customWidth="1"/>
    <col min="243" max="243" width="9.453125" bestFit="1" customWidth="1"/>
    <col min="244" max="244" width="12.453125" bestFit="1" customWidth="1"/>
    <col min="245" max="245" width="9.453125" bestFit="1" customWidth="1"/>
    <col min="246" max="246" width="12.453125" bestFit="1" customWidth="1"/>
    <col min="247" max="247" width="9.453125" bestFit="1" customWidth="1"/>
    <col min="248" max="248" width="12.453125" bestFit="1" customWidth="1"/>
    <col min="249" max="249" width="9.453125" bestFit="1" customWidth="1"/>
    <col min="250" max="250" width="12.453125" bestFit="1" customWidth="1"/>
    <col min="251" max="251" width="9.453125" bestFit="1" customWidth="1"/>
    <col min="252" max="252" width="12.453125" bestFit="1" customWidth="1"/>
    <col min="253" max="253" width="9.453125" bestFit="1" customWidth="1"/>
    <col min="254" max="254" width="12.453125" bestFit="1" customWidth="1"/>
    <col min="255" max="255" width="9.453125" bestFit="1" customWidth="1"/>
    <col min="256" max="256" width="12.453125" bestFit="1" customWidth="1"/>
    <col min="257" max="257" width="9.453125" bestFit="1" customWidth="1"/>
    <col min="258" max="258" width="12.453125" bestFit="1" customWidth="1"/>
    <col min="259" max="259" width="9.453125" bestFit="1" customWidth="1"/>
    <col min="260" max="260" width="12.453125" bestFit="1" customWidth="1"/>
    <col min="261" max="261" width="9.453125" bestFit="1" customWidth="1"/>
    <col min="262" max="262" width="12.453125" bestFit="1" customWidth="1"/>
    <col min="263" max="263" width="9.453125" bestFit="1" customWidth="1"/>
    <col min="264" max="264" width="12.453125" bestFit="1" customWidth="1"/>
    <col min="265" max="265" width="9.453125" bestFit="1" customWidth="1"/>
    <col min="266" max="266" width="12.453125" bestFit="1" customWidth="1"/>
    <col min="267" max="267" width="9.453125" bestFit="1" customWidth="1"/>
    <col min="268" max="268" width="12.453125" bestFit="1" customWidth="1"/>
    <col min="269" max="269" width="9.453125" bestFit="1" customWidth="1"/>
    <col min="270" max="270" width="12.453125" bestFit="1" customWidth="1"/>
    <col min="271" max="271" width="9.453125" bestFit="1" customWidth="1"/>
    <col min="272" max="272" width="12.453125" bestFit="1" customWidth="1"/>
    <col min="273" max="273" width="9.453125" bestFit="1" customWidth="1"/>
    <col min="274" max="274" width="12.453125" bestFit="1" customWidth="1"/>
    <col min="275" max="275" width="9.453125" bestFit="1" customWidth="1"/>
    <col min="276" max="276" width="12.453125" bestFit="1" customWidth="1"/>
    <col min="277" max="277" width="9.453125" bestFit="1" customWidth="1"/>
    <col min="278" max="278" width="12.453125" bestFit="1" customWidth="1"/>
    <col min="279" max="279" width="9.453125" bestFit="1" customWidth="1"/>
    <col min="280" max="280" width="12.453125" bestFit="1" customWidth="1"/>
    <col min="281" max="281" width="9.453125" bestFit="1" customWidth="1"/>
    <col min="282" max="282" width="12.453125" bestFit="1" customWidth="1"/>
    <col min="283" max="283" width="9.453125" bestFit="1" customWidth="1"/>
    <col min="284" max="284" width="12.453125" bestFit="1" customWidth="1"/>
    <col min="285" max="285" width="9.453125" bestFit="1" customWidth="1"/>
    <col min="286" max="286" width="12.453125" bestFit="1" customWidth="1"/>
    <col min="287" max="287" width="9.453125" bestFit="1" customWidth="1"/>
    <col min="288" max="288" width="12.453125" bestFit="1" customWidth="1"/>
    <col min="289" max="289" width="9.453125" bestFit="1" customWidth="1"/>
    <col min="290" max="290" width="12.453125" bestFit="1" customWidth="1"/>
    <col min="291" max="291" width="9.453125" bestFit="1" customWidth="1"/>
    <col min="292" max="292" width="12.453125" bestFit="1" customWidth="1"/>
    <col min="293" max="293" width="9.453125" bestFit="1" customWidth="1"/>
    <col min="294" max="294" width="12.453125" bestFit="1" customWidth="1"/>
    <col min="295" max="295" width="9.453125" bestFit="1" customWidth="1"/>
    <col min="296" max="296" width="12.453125" bestFit="1" customWidth="1"/>
    <col min="297" max="297" width="9.453125" bestFit="1" customWidth="1"/>
    <col min="298" max="298" width="12.453125" bestFit="1" customWidth="1"/>
    <col min="299" max="299" width="9.453125" bestFit="1" customWidth="1"/>
    <col min="300" max="300" width="12.453125" bestFit="1" customWidth="1"/>
    <col min="301" max="301" width="9.453125" bestFit="1" customWidth="1"/>
    <col min="302" max="302" width="12.453125" bestFit="1" customWidth="1"/>
    <col min="303" max="303" width="9.453125" bestFit="1" customWidth="1"/>
    <col min="304" max="304" width="12.453125" bestFit="1" customWidth="1"/>
    <col min="305" max="305" width="9.453125" bestFit="1" customWidth="1"/>
    <col min="306" max="306" width="12.453125" bestFit="1" customWidth="1"/>
    <col min="307" max="307" width="9.453125" bestFit="1" customWidth="1"/>
    <col min="308" max="308" width="12.453125" bestFit="1" customWidth="1"/>
    <col min="309" max="309" width="9.453125" bestFit="1" customWidth="1"/>
    <col min="310" max="310" width="12.453125" bestFit="1" customWidth="1"/>
    <col min="311" max="311" width="9.453125" bestFit="1" customWidth="1"/>
    <col min="312" max="312" width="12.453125" bestFit="1" customWidth="1"/>
    <col min="313" max="313" width="9.453125" bestFit="1" customWidth="1"/>
    <col min="314" max="314" width="12.453125" bestFit="1" customWidth="1"/>
    <col min="315" max="315" width="9.453125" bestFit="1" customWidth="1"/>
    <col min="316" max="316" width="12.453125" bestFit="1" customWidth="1"/>
    <col min="317" max="317" width="9.453125" bestFit="1" customWidth="1"/>
    <col min="318" max="318" width="12.453125" bestFit="1" customWidth="1"/>
    <col min="319" max="319" width="9.453125" bestFit="1" customWidth="1"/>
    <col min="320" max="320" width="12.453125" bestFit="1" customWidth="1"/>
    <col min="321" max="321" width="9.453125" bestFit="1" customWidth="1"/>
    <col min="322" max="322" width="12.453125" bestFit="1" customWidth="1"/>
    <col min="323" max="323" width="9.453125" bestFit="1" customWidth="1"/>
    <col min="324" max="324" width="12.453125" bestFit="1" customWidth="1"/>
    <col min="325" max="325" width="9.453125" bestFit="1" customWidth="1"/>
    <col min="326" max="326" width="12.453125" bestFit="1" customWidth="1"/>
    <col min="327" max="327" width="9.453125" bestFit="1" customWidth="1"/>
    <col min="328" max="328" width="12.453125" bestFit="1" customWidth="1"/>
    <col min="329" max="329" width="9.453125" bestFit="1" customWidth="1"/>
    <col min="330" max="330" width="12.453125" bestFit="1" customWidth="1"/>
    <col min="331" max="331" width="11" bestFit="1" customWidth="1"/>
    <col min="332" max="332" width="14.1796875" bestFit="1" customWidth="1"/>
    <col min="333" max="333" width="11" bestFit="1" customWidth="1"/>
    <col min="334" max="334" width="14.1796875" bestFit="1" customWidth="1"/>
    <col min="335" max="335" width="11" bestFit="1" customWidth="1"/>
    <col min="336" max="336" width="14.1796875" bestFit="1" customWidth="1"/>
    <col min="337" max="337" width="11" bestFit="1" customWidth="1"/>
    <col min="338" max="338" width="14.1796875" bestFit="1" customWidth="1"/>
    <col min="339" max="339" width="11" bestFit="1" customWidth="1"/>
    <col min="340" max="340" width="14.1796875" bestFit="1" customWidth="1"/>
    <col min="341" max="341" width="11" bestFit="1" customWidth="1"/>
    <col min="342" max="342" width="14.1796875" bestFit="1" customWidth="1"/>
    <col min="343" max="343" width="11" bestFit="1" customWidth="1"/>
    <col min="344" max="344" width="14.1796875" bestFit="1" customWidth="1"/>
    <col min="345" max="345" width="11" bestFit="1" customWidth="1"/>
    <col min="346" max="346" width="14.1796875" bestFit="1" customWidth="1"/>
    <col min="347" max="347" width="11" bestFit="1" customWidth="1"/>
    <col min="348" max="348" width="14.1796875" bestFit="1" customWidth="1"/>
    <col min="349" max="349" width="11" bestFit="1" customWidth="1"/>
    <col min="350" max="350" width="14.1796875" bestFit="1" customWidth="1"/>
    <col min="351" max="351" width="11" bestFit="1" customWidth="1"/>
    <col min="352" max="352" width="14.1796875" bestFit="1" customWidth="1"/>
    <col min="353" max="353" width="11" bestFit="1" customWidth="1"/>
    <col min="354" max="354" width="14.1796875" bestFit="1" customWidth="1"/>
    <col min="355" max="355" width="11" bestFit="1" customWidth="1"/>
    <col min="356" max="356" width="14.1796875" bestFit="1" customWidth="1"/>
    <col min="357" max="357" width="11" bestFit="1" customWidth="1"/>
    <col min="358" max="358" width="14.1796875" bestFit="1" customWidth="1"/>
    <col min="359" max="359" width="11" bestFit="1" customWidth="1"/>
    <col min="360" max="360" width="14.1796875" bestFit="1" customWidth="1"/>
    <col min="361" max="361" width="11" bestFit="1" customWidth="1"/>
    <col min="362" max="362" width="14.1796875" bestFit="1" customWidth="1"/>
    <col min="363" max="363" width="11" bestFit="1" customWidth="1"/>
    <col min="364" max="364" width="14.1796875" bestFit="1" customWidth="1"/>
    <col min="365" max="365" width="11" bestFit="1" customWidth="1"/>
    <col min="366" max="366" width="14.1796875" bestFit="1" customWidth="1"/>
    <col min="367" max="367" width="11" bestFit="1" customWidth="1"/>
    <col min="368" max="368" width="14.1796875" bestFit="1" customWidth="1"/>
    <col min="369" max="369" width="11" bestFit="1" customWidth="1"/>
    <col min="370" max="370" width="14.1796875" bestFit="1" customWidth="1"/>
    <col min="371" max="371" width="11" bestFit="1" customWidth="1"/>
    <col min="372" max="372" width="14.1796875" bestFit="1" customWidth="1"/>
    <col min="373" max="373" width="11" bestFit="1" customWidth="1"/>
    <col min="374" max="374" width="14.1796875" bestFit="1" customWidth="1"/>
    <col min="375" max="375" width="11" bestFit="1" customWidth="1"/>
    <col min="376" max="376" width="14.1796875" bestFit="1" customWidth="1"/>
    <col min="377" max="377" width="11" bestFit="1" customWidth="1"/>
    <col min="378" max="378" width="14.1796875" bestFit="1" customWidth="1"/>
    <col min="379" max="379" width="11" bestFit="1" customWidth="1"/>
    <col min="380" max="380" width="14.1796875" bestFit="1" customWidth="1"/>
    <col min="381" max="381" width="11" bestFit="1" customWidth="1"/>
    <col min="382" max="382" width="14.1796875" bestFit="1" customWidth="1"/>
    <col min="383" max="383" width="11" bestFit="1" customWidth="1"/>
    <col min="384" max="384" width="14.1796875" bestFit="1" customWidth="1"/>
    <col min="385" max="385" width="11" bestFit="1" customWidth="1"/>
    <col min="386" max="386" width="14.1796875" bestFit="1" customWidth="1"/>
    <col min="387" max="387" width="11" bestFit="1" customWidth="1"/>
    <col min="388" max="388" width="14.1796875" bestFit="1" customWidth="1"/>
    <col min="389" max="389" width="11" bestFit="1" customWidth="1"/>
    <col min="390" max="390" width="14.1796875" bestFit="1" customWidth="1"/>
    <col min="391" max="391" width="11" bestFit="1" customWidth="1"/>
    <col min="392" max="392" width="14.1796875" bestFit="1" customWidth="1"/>
    <col min="393" max="393" width="11" bestFit="1" customWidth="1"/>
    <col min="394" max="394" width="14.1796875" bestFit="1" customWidth="1"/>
    <col min="395" max="395" width="11" bestFit="1" customWidth="1"/>
    <col min="396" max="396" width="14.1796875" bestFit="1" customWidth="1"/>
    <col min="397" max="397" width="11" bestFit="1" customWidth="1"/>
    <col min="398" max="398" width="14.1796875" bestFit="1" customWidth="1"/>
    <col min="399" max="399" width="11" bestFit="1" customWidth="1"/>
    <col min="400" max="400" width="14.1796875" bestFit="1" customWidth="1"/>
    <col min="401" max="401" width="11" bestFit="1" customWidth="1"/>
    <col min="402" max="402" width="14.1796875" bestFit="1" customWidth="1"/>
    <col min="403" max="403" width="11" bestFit="1" customWidth="1"/>
    <col min="404" max="404" width="14.1796875" bestFit="1" customWidth="1"/>
    <col min="405" max="405" width="11" bestFit="1" customWidth="1"/>
    <col min="406" max="406" width="14.1796875" bestFit="1" customWidth="1"/>
    <col min="407" max="407" width="11" bestFit="1" customWidth="1"/>
    <col min="408" max="408" width="14.1796875" bestFit="1" customWidth="1"/>
    <col min="409" max="409" width="11" bestFit="1" customWidth="1"/>
    <col min="410" max="410" width="14.1796875" bestFit="1" customWidth="1"/>
    <col min="411" max="411" width="11" bestFit="1" customWidth="1"/>
    <col min="412" max="412" width="14.1796875" bestFit="1" customWidth="1"/>
    <col min="413" max="413" width="11" bestFit="1" customWidth="1"/>
    <col min="414" max="414" width="14.1796875" bestFit="1" customWidth="1"/>
    <col min="415" max="415" width="11" bestFit="1" customWidth="1"/>
    <col min="416" max="416" width="14.1796875" bestFit="1" customWidth="1"/>
    <col min="417" max="417" width="11" bestFit="1" customWidth="1"/>
    <col min="418" max="418" width="14.1796875" bestFit="1" customWidth="1"/>
    <col min="419" max="419" width="11" bestFit="1" customWidth="1"/>
    <col min="420" max="420" width="14.1796875" bestFit="1" customWidth="1"/>
    <col min="421" max="421" width="11" bestFit="1" customWidth="1"/>
    <col min="422" max="422" width="14.1796875" bestFit="1" customWidth="1"/>
    <col min="423" max="423" width="11" bestFit="1" customWidth="1"/>
    <col min="424" max="424" width="14.1796875" bestFit="1" customWidth="1"/>
    <col min="425" max="425" width="11" bestFit="1" customWidth="1"/>
    <col min="426" max="426" width="14.1796875" bestFit="1" customWidth="1"/>
    <col min="427" max="427" width="12" bestFit="1" customWidth="1"/>
    <col min="428" max="428" width="15.1796875" bestFit="1" customWidth="1"/>
    <col min="429" max="429" width="12" bestFit="1" customWidth="1"/>
    <col min="430" max="430" width="15.1796875" bestFit="1" customWidth="1"/>
    <col min="431" max="431" width="12" bestFit="1" customWidth="1"/>
    <col min="432" max="432" width="15.1796875" bestFit="1" customWidth="1"/>
    <col min="433" max="433" width="12" bestFit="1" customWidth="1"/>
    <col min="434" max="434" width="15.1796875" bestFit="1" customWidth="1"/>
    <col min="435" max="435" width="12" bestFit="1" customWidth="1"/>
    <col min="436" max="436" width="15.1796875" bestFit="1" customWidth="1"/>
    <col min="437" max="437" width="12" bestFit="1" customWidth="1"/>
    <col min="438" max="438" width="15.1796875" bestFit="1" customWidth="1"/>
    <col min="439" max="439" width="12" bestFit="1" customWidth="1"/>
    <col min="440" max="440" width="15.1796875" bestFit="1" customWidth="1"/>
    <col min="441" max="441" width="12" bestFit="1" customWidth="1"/>
    <col min="442" max="442" width="15.1796875" bestFit="1" customWidth="1"/>
    <col min="443" max="443" width="12" bestFit="1" customWidth="1"/>
    <col min="444" max="444" width="15.1796875" bestFit="1" customWidth="1"/>
    <col min="445" max="445" width="12" bestFit="1" customWidth="1"/>
    <col min="446" max="446" width="15.1796875" bestFit="1" customWidth="1"/>
    <col min="447" max="447" width="12" bestFit="1" customWidth="1"/>
    <col min="448" max="448" width="15.1796875" bestFit="1" customWidth="1"/>
    <col min="449" max="449" width="12.26953125" bestFit="1" customWidth="1"/>
    <col min="450" max="450" width="12.1796875" bestFit="1" customWidth="1"/>
    <col min="451" max="451" width="15.26953125" bestFit="1" customWidth="1"/>
  </cols>
  <sheetData>
    <row r="3" spans="1:2" x14ac:dyDescent="0.35">
      <c r="A3" t="s">
        <v>509</v>
      </c>
      <c r="B3" t="s">
        <v>500</v>
      </c>
    </row>
    <row r="4" spans="1:2" x14ac:dyDescent="0.35">
      <c r="A4" s="1">
        <v>5638621</v>
      </c>
      <c r="B4" s="1">
        <v>5647957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D09B-6DD0-4060-B8E2-664BBD0A4D8E}">
  <dimension ref="A3:B4"/>
  <sheetViews>
    <sheetView workbookViewId="0">
      <selection activeCell="B4" sqref="B4"/>
    </sheetView>
  </sheetViews>
  <sheetFormatPr defaultRowHeight="14.5" x14ac:dyDescent="0.35"/>
  <cols>
    <col min="1" max="1" width="16.6328125" bestFit="1" customWidth="1"/>
    <col min="2" max="2" width="17.90625" bestFit="1" customWidth="1"/>
  </cols>
  <sheetData>
    <row r="3" spans="1:2" x14ac:dyDescent="0.35">
      <c r="A3" t="s">
        <v>500</v>
      </c>
      <c r="B3" t="s">
        <v>503</v>
      </c>
    </row>
    <row r="4" spans="1:2" x14ac:dyDescent="0.35">
      <c r="A4" s="1">
        <v>5647957</v>
      </c>
      <c r="B4" s="1">
        <v>9336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27E41-DC97-4390-B393-37E40E5205D0}">
  <dimension ref="A1:A5"/>
  <sheetViews>
    <sheetView workbookViewId="0">
      <selection activeCell="A5" sqref="A5"/>
    </sheetView>
  </sheetViews>
  <sheetFormatPr defaultRowHeight="14.5" x14ac:dyDescent="0.35"/>
  <cols>
    <col min="1" max="1" width="156.7265625" customWidth="1"/>
  </cols>
  <sheetData>
    <row r="1" spans="1:1" x14ac:dyDescent="0.35">
      <c r="A1" t="s">
        <v>506</v>
      </c>
    </row>
    <row r="2" spans="1:1" x14ac:dyDescent="0.35">
      <c r="A2" t="s">
        <v>504</v>
      </c>
    </row>
    <row r="3" spans="1:1" x14ac:dyDescent="0.35">
      <c r="A3" t="s">
        <v>507</v>
      </c>
    </row>
    <row r="4" spans="1:1" x14ac:dyDescent="0.35">
      <c r="A4" t="s">
        <v>511</v>
      </c>
    </row>
    <row r="5" spans="1:1" x14ac:dyDescent="0.35">
      <c r="A5" t="s">
        <v>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557AC5C-9283-49A6-9818-AD0D8E20C27B}">
  <ds:schemaRefs>
    <ds:schemaRef ds:uri="http://schemas.microsoft.com/DataMashup"/>
  </ds:schemaRefs>
</ds:datastoreItem>
</file>

<file path=customXml/itemProps2.xml><?xml version="1.0" encoding="utf-8"?>
<ds:datastoreItem xmlns:ds="http://schemas.openxmlformats.org/officeDocument/2006/customXml" ds:itemID="{AF8A0F3F-116D-4466-BE32-44D011394646}">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3E19C007-CD71-4049-9D06-2C30BFB43B8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COVID-19 Coronavirus</vt:lpstr>
      <vt:lpstr>COVID-19 Coronavirus (2)</vt:lpstr>
      <vt:lpstr>Dashboard</vt:lpstr>
      <vt:lpstr>Task 1</vt:lpstr>
      <vt:lpstr>Task 1.2</vt:lpstr>
      <vt:lpstr>Task 2</vt:lpstr>
      <vt:lpstr>task 2.2</vt:lpstr>
      <vt:lpstr>Task 3</vt:lpstr>
      <vt:lpstr>Task 4</vt:lpstr>
      <vt:lpstr>Task 5</vt:lpstr>
      <vt:lpstr>Tasks to perform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dc:creator>
  <cp:lastModifiedBy>Budige Pavani</cp:lastModifiedBy>
  <dcterms:created xsi:type="dcterms:W3CDTF">2024-05-05T10:55:15Z</dcterms:created>
  <dcterms:modified xsi:type="dcterms:W3CDTF">2025-12-19T07:37:11Z</dcterms:modified>
</cp:coreProperties>
</file>